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328" codeName="{E757BCB4-07E6-AE0B-56E0-F0EEF7A6E26C}"/>
  <workbookPr codeName="ThisWorkbook"/>
  <mc:AlternateContent xmlns:mc="http://schemas.openxmlformats.org/markup-compatibility/2006">
    <mc:Choice Requires="x15">
      <x15ac:absPath xmlns:x15ac="http://schemas.microsoft.com/office/spreadsheetml/2010/11/ac" url="C:\Users\teyan\Desktop\希望表作成用エクセル\プロトタイプ　長期保管用　変更禁止\"/>
    </mc:Choice>
  </mc:AlternateContent>
  <xr:revisionPtr revIDLastSave="0" documentId="13_ncr:1_{621E80D0-A4F0-4788-A7AA-D71E98AB1D2E}" xr6:coauthVersionLast="47" xr6:coauthVersionMax="47" xr10:uidLastSave="{00000000-0000-0000-0000-000000000000}"/>
  <bookViews>
    <workbookView xWindow="-110" yWindow="-110" windowWidth="19420" windowHeight="11500" xr2:uid="{00000000-000D-0000-FFFF-FFFF00000000}"/>
  </bookViews>
  <sheets>
    <sheet name="1生徒操作画面（編集厳禁）" sheetId="1" r:id="rId1"/>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3" i="1" l="1"/>
  <c r="J3" i="1" s="1"/>
  <c r="H3" i="1"/>
  <c r="G3" i="1"/>
  <c r="F3" i="1"/>
  <c r="E3" i="1"/>
  <c r="J2" i="1"/>
  <c r="O11" i="1"/>
  <c r="N11" i="1"/>
  <c r="M11" i="1"/>
  <c r="L11" i="1"/>
  <c r="K11" i="1"/>
  <c r="AC6" i="1"/>
  <c r="AC5" i="1"/>
  <c r="AC4" i="1"/>
  <c r="AC3" i="1"/>
  <c r="AC2" i="1"/>
  <c r="K3" i="1" l="1"/>
</calcChain>
</file>

<file path=xl/sharedStrings.xml><?xml version="1.0" encoding="utf-8"?>
<sst xmlns="http://schemas.openxmlformats.org/spreadsheetml/2006/main" count="103" uniqueCount="69">
  <si>
    <t>季節講習希望日程表</t>
    <rPh sb="0" eb="2">
      <t>キセツ</t>
    </rPh>
    <rPh sb="2" eb="4">
      <t>コウシュウ</t>
    </rPh>
    <rPh sb="4" eb="9">
      <t>キボウニッテイヒョウ</t>
    </rPh>
    <phoneticPr fontId="1"/>
  </si>
  <si>
    <t>確認用</t>
    <rPh sb="0" eb="3">
      <t>カクニンヨウ</t>
    </rPh>
    <phoneticPr fontId="1"/>
  </si>
  <si>
    <t>(注1)半角数字以外は不可。</t>
    <phoneticPr fontId="1"/>
  </si>
  <si>
    <t>生徒名</t>
  </si>
  <si>
    <t>一日のコマ数</t>
    <rPh sb="0" eb="2">
      <t>イチニチ</t>
    </rPh>
    <rPh sb="5" eb="6">
      <t>スウ</t>
    </rPh>
    <phoneticPr fontId="1"/>
  </si>
  <si>
    <t>見出しの束数</t>
    <rPh sb="0" eb="2">
      <t>ミダ</t>
    </rPh>
    <rPh sb="4" eb="5">
      <t>タバ</t>
    </rPh>
    <rPh sb="5" eb="6">
      <t>スウ</t>
    </rPh>
    <phoneticPr fontId="1"/>
  </si>
  <si>
    <t>季節合計</t>
    <rPh sb="2" eb="4">
      <t>ゴウケイ</t>
    </rPh>
    <phoneticPr fontId="1"/>
  </si>
  <si>
    <t>2. 講習開始日を半角数字と/で入力。</t>
    <rPh sb="9" eb="11">
      <t>ハンカク</t>
    </rPh>
    <rPh sb="11" eb="13">
      <t>スウジ</t>
    </rPh>
    <rPh sb="16" eb="18">
      <t>ニュウリョク</t>
    </rPh>
    <phoneticPr fontId="1"/>
  </si>
  <si>
    <t>4. 下記の希望日程表を半角数字で埋める。</t>
    <phoneticPr fontId="1"/>
  </si>
  <si>
    <t>使い方　(左に書式設定と表の設定の説明あり)</t>
    <rPh sb="0" eb="1">
      <t>ツカ</t>
    </rPh>
    <rPh sb="2" eb="3">
      <t>カタ</t>
    </rPh>
    <rPh sb="5" eb="6">
      <t>ヒダリ</t>
    </rPh>
    <rPh sb="7" eb="9">
      <t>ショシキ</t>
    </rPh>
    <rPh sb="9" eb="11">
      <t>セッテイ</t>
    </rPh>
    <rPh sb="12" eb="13">
      <t>ヒョウ</t>
    </rPh>
    <rPh sb="14" eb="16">
      <t>セッテイ</t>
    </rPh>
    <rPh sb="17" eb="19">
      <t>セツメイ</t>
    </rPh>
    <phoneticPr fontId="1"/>
  </si>
  <si>
    <t>(注)教科がランダムでない箇所は、上記の数字を見ながら各教科を手動で調整する。</t>
    <rPh sb="1" eb="2">
      <t>チュウ</t>
    </rPh>
    <rPh sb="3" eb="5">
      <t>キョウカ</t>
    </rPh>
    <rPh sb="13" eb="15">
      <t>カショ</t>
    </rPh>
    <rPh sb="17" eb="19">
      <t>ジョウキ</t>
    </rPh>
    <rPh sb="20" eb="22">
      <t>スウジ</t>
    </rPh>
    <rPh sb="23" eb="24">
      <t>ミ</t>
    </rPh>
    <rPh sb="27" eb="30">
      <t>カクキョウカ</t>
    </rPh>
    <rPh sb="31" eb="33">
      <t>シュドウ</t>
    </rPh>
    <rPh sb="34" eb="36">
      <t>チョウセイ</t>
    </rPh>
    <phoneticPr fontId="1"/>
  </si>
  <si>
    <t>日/時</t>
  </si>
  <si>
    <t>各コマの開始時刻（注）先頭に見出し"日/時など"を必ず入れる。</t>
    <rPh sb="0" eb="1">
      <t>カク</t>
    </rPh>
    <rPh sb="4" eb="6">
      <t>カイシ</t>
    </rPh>
    <rPh sb="6" eb="8">
      <t>ジコク</t>
    </rPh>
    <rPh sb="9" eb="10">
      <t>チュウ</t>
    </rPh>
    <rPh sb="11" eb="13">
      <t>セントウ</t>
    </rPh>
    <rPh sb="14" eb="16">
      <t>ミダ</t>
    </rPh>
    <rPh sb="25" eb="26">
      <t>カナラ</t>
    </rPh>
    <rPh sb="27" eb="28">
      <t>イ</t>
    </rPh>
    <phoneticPr fontId="1"/>
  </si>
  <si>
    <t>5. 各教科の希望コマ数を入力。</t>
    <rPh sb="3" eb="4">
      <t>カク</t>
    </rPh>
    <rPh sb="4" eb="6">
      <t>キョウカ</t>
    </rPh>
    <rPh sb="6" eb="8">
      <t>キボウ</t>
    </rPh>
    <rPh sb="10" eb="11">
      <t>スウ</t>
    </rPh>
    <rPh sb="13" eb="15">
      <t>ニュウリョク</t>
    </rPh>
    <phoneticPr fontId="1"/>
  </si>
  <si>
    <t>6. ボタン③ 各教科を表に自動入力。</t>
    <rPh sb="8" eb="9">
      <t>カク</t>
    </rPh>
    <rPh sb="9" eb="11">
      <t>キョウカ</t>
    </rPh>
    <rPh sb="12" eb="13">
      <t>ヒョウ</t>
    </rPh>
    <rPh sb="14" eb="18">
      <t>ジドウニュウリョク</t>
    </rPh>
    <phoneticPr fontId="1"/>
  </si>
  <si>
    <t>1. ボタン① 表を初期化。</t>
    <rPh sb="8" eb="9">
      <t>ヒョウ</t>
    </rPh>
    <rPh sb="10" eb="13">
      <t>ショキカ</t>
    </rPh>
    <phoneticPr fontId="1"/>
  </si>
  <si>
    <t>3. ボタン② 日付を入力。</t>
    <rPh sb="8" eb="10">
      <t>ヒヅケ</t>
    </rPh>
    <rPh sb="11" eb="13">
      <t>ニュウリョク</t>
    </rPh>
    <phoneticPr fontId="1"/>
  </si>
  <si>
    <t>8. ボタン⑤ 別シートに反映。</t>
    <rPh sb="8" eb="9">
      <t>ベツ</t>
    </rPh>
    <rPh sb="13" eb="15">
      <t>ハンエイ</t>
    </rPh>
    <phoneticPr fontId="1"/>
  </si>
  <si>
    <t>7. ボタン④ 新シートを作成。</t>
    <rPh sb="8" eb="9">
      <t>アタラ</t>
    </rPh>
    <rPh sb="13" eb="15">
      <t>サクセイ</t>
    </rPh>
    <phoneticPr fontId="1"/>
  </si>
  <si>
    <t>(注2)空欄可。</t>
    <rPh sb="6" eb="7">
      <t>カ</t>
    </rPh>
    <phoneticPr fontId="1"/>
  </si>
  <si>
    <t>季　英語</t>
  </si>
  <si>
    <t>季　国語</t>
  </si>
  <si>
    <t>季　数学</t>
  </si>
  <si>
    <t>季　社会</t>
  </si>
  <si>
    <t>季　理科</t>
  </si>
  <si>
    <t>※日付が####になった場合はこのボタンを押す。</t>
    <phoneticPr fontId="1"/>
  </si>
  <si>
    <t>フォント</t>
  </si>
  <si>
    <t>余白上</t>
    <rPh sb="0" eb="2">
      <t>ヨハク</t>
    </rPh>
    <rPh sb="2" eb="3">
      <t>シタ</t>
    </rPh>
    <phoneticPr fontId="1"/>
  </si>
  <si>
    <t>余白下</t>
    <rPh sb="2" eb="3">
      <t>シタ</t>
    </rPh>
    <phoneticPr fontId="1"/>
  </si>
  <si>
    <t>余白左</t>
  </si>
  <si>
    <t>行の高さ</t>
    <rPh sb="0" eb="1">
      <t>ギョウ</t>
    </rPh>
    <rPh sb="2" eb="3">
      <t>タカ</t>
    </rPh>
    <phoneticPr fontId="1"/>
  </si>
  <si>
    <t>余白右</t>
    <rPh sb="0" eb="2">
      <t>ヨハク</t>
    </rPh>
    <rPh sb="2" eb="3">
      <t>ミギ</t>
    </rPh>
    <phoneticPr fontId="1"/>
  </si>
  <si>
    <t>列の幅</t>
    <rPh sb="0" eb="1">
      <t>レツ</t>
    </rPh>
    <rPh sb="2" eb="3">
      <t>ハバ</t>
    </rPh>
    <phoneticPr fontId="1"/>
  </si>
  <si>
    <t>字大きさ</t>
    <phoneticPr fontId="1"/>
  </si>
  <si>
    <t>Yu Gothic</t>
    <phoneticPr fontId="1"/>
  </si>
  <si>
    <t>英語</t>
  </si>
  <si>
    <t>国語</t>
  </si>
  <si>
    <t>数学</t>
  </si>
  <si>
    <t>社会</t>
  </si>
  <si>
    <t>理科</t>
  </si>
  <si>
    <t>列に入力する日数</t>
    <phoneticPr fontId="1"/>
  </si>
  <si>
    <t>表の設定（色付きの部分の数字が表に反映）</t>
    <rPh sb="0" eb="1">
      <t>ヒョウ</t>
    </rPh>
    <rPh sb="2" eb="4">
      <t>セッテイ</t>
    </rPh>
    <rPh sb="5" eb="7">
      <t>イロツ</t>
    </rPh>
    <rPh sb="9" eb="11">
      <t>ブブン</t>
    </rPh>
    <phoneticPr fontId="1"/>
  </si>
  <si>
    <t>書式設定（色付きの部分の表に反映）単位は　字大きさは(pt)　列の幅は単位なし　その他すべて(cm)</t>
    <rPh sb="0" eb="2">
      <t>ショシキ</t>
    </rPh>
    <rPh sb="2" eb="4">
      <t>セッテイ</t>
    </rPh>
    <rPh sb="17" eb="19">
      <t>タンイ</t>
    </rPh>
    <rPh sb="21" eb="22">
      <t>ジ</t>
    </rPh>
    <rPh sb="22" eb="23">
      <t>オオ</t>
    </rPh>
    <rPh sb="35" eb="37">
      <t>タンイ</t>
    </rPh>
    <rPh sb="42" eb="43">
      <t>タ</t>
    </rPh>
    <phoneticPr fontId="1"/>
  </si>
  <si>
    <t>土</t>
  </si>
  <si>
    <t>日</t>
  </si>
  <si>
    <t>色番号</t>
    <rPh sb="0" eb="1">
      <t>イロ</t>
    </rPh>
    <rPh sb="1" eb="3">
      <t>バンゴウ</t>
    </rPh>
    <phoneticPr fontId="1"/>
  </si>
  <si>
    <t>濃度</t>
    <rPh sb="0" eb="2">
      <t>ノウド</t>
    </rPh>
    <phoneticPr fontId="1"/>
  </si>
  <si>
    <t>色の対象</t>
    <rPh sb="0" eb="1">
      <t>イロ</t>
    </rPh>
    <rPh sb="2" eb="4">
      <t>タイショウ</t>
    </rPh>
    <phoneticPr fontId="1"/>
  </si>
  <si>
    <t>土日&amp;時間</t>
    <rPh sb="0" eb="2">
      <t>ドニチ</t>
    </rPh>
    <rPh sb="3" eb="5">
      <t>ジカン</t>
    </rPh>
    <phoneticPr fontId="1"/>
  </si>
  <si>
    <t>色の番号は色一覧の左から順に1,2,3...,9,10となる。</t>
    <rPh sb="2" eb="4">
      <t>バンゴウ</t>
    </rPh>
    <rPh sb="12" eb="13">
      <t>ジュン</t>
    </rPh>
    <phoneticPr fontId="1"/>
  </si>
  <si>
    <t>濃度は「基本色 +QQ％」をのQQ％を小数表記したもの。</t>
    <phoneticPr fontId="1"/>
  </si>
  <si>
    <t>科目</t>
    <rPh sb="0" eb="2">
      <t>カモク</t>
    </rPh>
    <phoneticPr fontId="1"/>
  </si>
  <si>
    <t>季節講習教科名（先頭色違いの５マスに入力した教科にそれぞれ別の色が付く。）</t>
    <rPh sb="2" eb="4">
      <t>コウシュウ</t>
    </rPh>
    <rPh sb="22" eb="24">
      <t>キョウカ</t>
    </rPh>
    <rPh sb="29" eb="30">
      <t>ベツ</t>
    </rPh>
    <rPh sb="31" eb="32">
      <t>イロ</t>
    </rPh>
    <rPh sb="33" eb="34">
      <t>ツ</t>
    </rPh>
    <phoneticPr fontId="1"/>
  </si>
  <si>
    <t>通常授業教科名（左表の五教科以外の識別番号）→</t>
    <rPh sb="0" eb="2">
      <t>ツウジョウ</t>
    </rPh>
    <rPh sb="2" eb="4">
      <t>ジュギョウ</t>
    </rPh>
    <rPh sb="4" eb="6">
      <t>キョウカ</t>
    </rPh>
    <rPh sb="6" eb="7">
      <t>メイ</t>
    </rPh>
    <rPh sb="8" eb="9">
      <t>ヒダリ</t>
    </rPh>
    <rPh sb="9" eb="10">
      <t>ヒョウ</t>
    </rPh>
    <rPh sb="11" eb="12">
      <t>ゴ</t>
    </rPh>
    <rPh sb="12" eb="14">
      <t>キョウカ</t>
    </rPh>
    <rPh sb="14" eb="16">
      <t>イガイ</t>
    </rPh>
    <rPh sb="17" eb="19">
      <t>シキベツ</t>
    </rPh>
    <rPh sb="19" eb="21">
      <t>バンゴウ</t>
    </rPh>
    <phoneticPr fontId="1"/>
  </si>
  <si>
    <t>季)科目数</t>
    <rPh sb="0" eb="1">
      <t>キ</t>
    </rPh>
    <rPh sb="2" eb="4">
      <t>カモク</t>
    </rPh>
    <rPh sb="4" eb="5">
      <t>スウ</t>
    </rPh>
    <phoneticPr fontId="1"/>
  </si>
  <si>
    <t>通)科目数</t>
    <rPh sb="0" eb="1">
      <t>ツ</t>
    </rPh>
    <rPh sb="2" eb="5">
      <t>カモクスウ</t>
    </rPh>
    <phoneticPr fontId="1"/>
  </si>
  <si>
    <t>（注1）季節講習は　0　を入力</t>
    <rPh sb="1" eb="2">
      <t>チュウ</t>
    </rPh>
    <rPh sb="4" eb="6">
      <t>キセツ</t>
    </rPh>
    <rPh sb="6" eb="8">
      <t>コウシュウ</t>
    </rPh>
    <rPh sb="13" eb="15">
      <t>ニュウリョク</t>
    </rPh>
    <phoneticPr fontId="1"/>
  </si>
  <si>
    <t>（注2）通常授業は教科ごとに以下の数字を入力</t>
    <rPh sb="1" eb="2">
      <t>チュウ</t>
    </rPh>
    <rPh sb="4" eb="6">
      <t>ツウジョウ</t>
    </rPh>
    <rPh sb="6" eb="8">
      <t>ジュギョウ</t>
    </rPh>
    <rPh sb="9" eb="11">
      <t>キョウカ</t>
    </rPh>
    <rPh sb="14" eb="16">
      <t>イカ</t>
    </rPh>
    <rPh sb="17" eb="19">
      <t>スウジ</t>
    </rPh>
    <rPh sb="20" eb="22">
      <t>ニュウリョク</t>
    </rPh>
    <phoneticPr fontId="1"/>
  </si>
  <si>
    <t>（例）1/1</t>
    <rPh sb="1" eb="2">
      <t>レイ</t>
    </rPh>
    <phoneticPr fontId="1"/>
  </si>
  <si>
    <t>季節英語</t>
    <rPh sb="0" eb="2">
      <t>キセツ</t>
    </rPh>
    <rPh sb="2" eb="4">
      <t>エイゴ</t>
    </rPh>
    <phoneticPr fontId="1"/>
  </si>
  <si>
    <t>季節国語</t>
    <rPh sb="0" eb="2">
      <t>キセツ</t>
    </rPh>
    <rPh sb="2" eb="4">
      <t>コクゴ</t>
    </rPh>
    <phoneticPr fontId="1"/>
  </si>
  <si>
    <t>季節数学</t>
    <rPh sb="0" eb="2">
      <t>キセツ</t>
    </rPh>
    <rPh sb="2" eb="4">
      <t>スウガク</t>
    </rPh>
    <phoneticPr fontId="1"/>
  </si>
  <si>
    <t>季節社会</t>
    <rPh sb="0" eb="2">
      <t>キセツ</t>
    </rPh>
    <rPh sb="2" eb="4">
      <t>シャカイ</t>
    </rPh>
    <phoneticPr fontId="1"/>
  </si>
  <si>
    <t>季節理科</t>
    <rPh sb="0" eb="2">
      <t>キセツ</t>
    </rPh>
    <rPh sb="2" eb="4">
      <t>リカ</t>
    </rPh>
    <phoneticPr fontId="1"/>
  </si>
  <si>
    <t>判定マーカー(消さないで)</t>
  </si>
  <si>
    <t>日/時</t>
    <phoneticPr fontId="1"/>
  </si>
  <si>
    <t>季　数学</t>
    <phoneticPr fontId="1"/>
  </si>
  <si>
    <t>季　英語</t>
    <phoneticPr fontId="1"/>
  </si>
  <si>
    <t>季　理科</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</si>
</sst>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m/dd/aaaa"/>
    <numFmt numFmtId="177" formatCode="m/d\(aaa\)"/>
  </numFmts>
  <fonts count="9">
    <font>
      <sz val="11"/>
      <color theme="1"/>
      <name val="Yu Gothic"/>
      <family val="2"/>
      <scheme val="minor"/>
    </font>
    <font>
      <sz val="6"/>
      <name val="Yu Gothic"/>
      <family val="3"/>
      <charset val="128"/>
      <scheme val="minor"/>
    </font>
    <font>
      <sz val="11"/>
      <color rgb="FF000000"/>
      <name val="Yu Gothic"/>
      <family val="3"/>
      <charset val="128"/>
    </font>
    <font>
      <sz val="10"/>
      <color theme="1"/>
      <name val="Yu Gothic"/>
      <family val="3"/>
      <charset val="128"/>
    </font>
    <font>
      <sz val="10"/>
      <name val="Yu Gothic"/>
      <family val="3"/>
      <charset val="128"/>
    </font>
    <font>
      <sz val="10"/>
      <color rgb="FFC00000"/>
      <name val="Yu Gothic"/>
      <family val="3"/>
      <charset val="128"/>
    </font>
    <font>
      <sz val="10"/>
      <color theme="0"/>
      <name val="Yu Gothic"/>
      <family val="3"/>
      <charset val="128"/>
    </font>
    <font>
      <sz val="10"/>
      <color theme="1"/>
      <name val="Yu Gothic"/>
      <family val="3"/>
      <charset val="128"/>
      <scheme val="minor"/>
    </font>
    <font>
      <b/>
      <sz val="10"/>
      <color theme="1"/>
      <name val="Yu Gothic"/>
      <family val="3"/>
      <charset val="128"/>
    </font>
  </fonts>
  <fills count="5">
    <fill>
      <patternFill patternType="none"/>
    </fill>
    <fill>
      <patternFill patternType="gray125"/>
    </fill>
    <fill>
      <patternFill patternType="solid">
        <fgColor theme="0"/>
        <bgColor indexed="64"/>
      </patternFill>
    </fill>
    <fill>
      <patternFill patternType="solid">
        <fgColor theme="7" tint="0.39997558519241921"/>
        <bgColor indexed="64"/>
      </patternFill>
    </fill>
    <fill>
      <patternFill patternType="solid">
        <fgColor theme="5" tint="0.39997558519241921"/>
        <bgColor indexed="64"/>
      </patternFill>
    </fill>
  </fills>
  <borders count="4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ck">
        <color indexed="64"/>
      </right>
      <top style="thick">
        <color indexed="64"/>
      </top>
      <bottom style="thick">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style="thick">
        <color auto="1"/>
      </top>
      <bottom style="thick">
        <color auto="1"/>
      </bottom>
      <diagonal/>
    </border>
    <border>
      <left/>
      <right style="thin">
        <color indexed="64"/>
      </right>
      <top style="thin">
        <color indexed="64"/>
      </top>
      <bottom/>
      <diagonal/>
    </border>
    <border>
      <left style="thick">
        <color indexed="64"/>
      </left>
      <right style="thin">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style="thin">
        <color indexed="64"/>
      </right>
      <top/>
      <bottom/>
      <diagonal/>
    </border>
    <border>
      <left style="thin">
        <color indexed="64"/>
      </left>
      <right/>
      <top/>
      <bottom style="thin">
        <color indexed="64"/>
      </bottom>
      <diagonal/>
    </border>
    <border>
      <left style="thick">
        <color indexed="64"/>
      </left>
      <right style="thick">
        <color indexed="64"/>
      </right>
      <top style="thick">
        <color indexed="64"/>
      </top>
      <bottom style="thin">
        <color indexed="64"/>
      </bottom>
      <diagonal/>
    </border>
    <border>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style="thin">
        <color indexed="64"/>
      </top>
      <bottom/>
      <diagonal/>
    </border>
    <border>
      <left style="thick">
        <color indexed="64"/>
      </left>
      <right style="thin">
        <color indexed="64"/>
      </right>
      <top style="thick">
        <color indexed="64"/>
      </top>
      <bottom style="thin">
        <color indexed="64"/>
      </bottom>
      <diagonal/>
    </border>
    <border>
      <left style="thick">
        <color indexed="64"/>
      </left>
      <right style="thick">
        <color indexed="64"/>
      </right>
      <top style="thin">
        <color indexed="64"/>
      </top>
      <bottom style="thick">
        <color indexed="64"/>
      </bottom>
      <diagonal/>
    </border>
    <border>
      <left style="thin">
        <color indexed="64"/>
      </left>
      <right/>
      <top style="thick">
        <color indexed="64"/>
      </top>
      <bottom style="thin">
        <color indexed="64"/>
      </bottom>
      <diagonal/>
    </border>
    <border>
      <left style="thin">
        <color indexed="64"/>
      </left>
      <right/>
      <top style="thin">
        <color indexed="64"/>
      </top>
      <bottom style="thick">
        <color indexed="64"/>
      </bottom>
      <diagonal/>
    </border>
    <border>
      <left/>
      <right style="thin">
        <color indexed="64"/>
      </right>
      <top style="thin">
        <color indexed="64"/>
      </top>
      <bottom style="thick">
        <color indexed="64"/>
      </bottom>
      <diagonal/>
    </border>
    <border>
      <left style="thick">
        <color indexed="64"/>
      </left>
      <right style="thin">
        <color indexed="64"/>
      </right>
      <top style="thick">
        <color indexed="64"/>
      </top>
      <bottom style="thick">
        <color indexed="64"/>
      </bottom>
      <diagonal/>
    </border>
    <border>
      <left/>
      <right/>
      <top style="thin">
        <color indexed="64"/>
      </top>
      <bottom style="thick">
        <color auto="1"/>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ck">
        <color indexed="64"/>
      </top>
      <bottom style="thick">
        <color indexed="64"/>
      </bottom>
      <diagonal/>
    </border>
    <border>
      <left style="thick">
        <color indexed="64"/>
      </left>
      <right style="thick">
        <color indexed="64"/>
      </right>
      <top/>
      <bottom style="thin">
        <color indexed="64"/>
      </bottom>
      <diagonal/>
    </border>
    <border>
      <left/>
      <right style="thin">
        <color indexed="64"/>
      </right>
      <top style="thick">
        <color indexed="64"/>
      </top>
      <bottom style="thick">
        <color indexed="64"/>
      </bottom>
      <diagonal/>
    </border>
    <border>
      <left style="thin">
        <color indexed="64"/>
      </left>
      <right/>
      <top style="thick">
        <color indexed="64"/>
      </top>
      <bottom style="thick">
        <color indexed="64"/>
      </bottom>
      <diagonal/>
    </border>
    <border>
      <left style="thin">
        <color indexed="64"/>
      </left>
      <right style="thick">
        <color indexed="64"/>
      </right>
      <top style="thin">
        <color indexed="64"/>
      </top>
      <bottom style="thin">
        <color indexed="64"/>
      </bottom>
      <diagonal/>
    </border>
    <border>
      <left style="thin">
        <color indexed="64"/>
      </left>
      <right style="thick">
        <color indexed="64"/>
      </right>
      <top/>
      <bottom style="thin">
        <color indexed="64"/>
      </bottom>
      <diagonal/>
    </border>
    <border>
      <left style="thick">
        <color indexed="64"/>
      </left>
      <right style="thick">
        <color indexed="64"/>
      </right>
      <top style="thin">
        <color indexed="64"/>
      </top>
      <bottom/>
      <diagonal/>
    </border>
    <border>
      <left style="thin">
        <color indexed="64"/>
      </left>
      <right style="thick">
        <color indexed="64"/>
      </right>
      <top style="thin">
        <color indexed="64"/>
      </top>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style="thin">
        <color indexed="64"/>
      </left>
      <right style="thin">
        <color indexed="64"/>
      </right>
      <top/>
      <bottom/>
      <diagonal/>
    </border>
    <border>
      <left style="thick">
        <color indexed="64"/>
      </left>
      <right/>
      <top style="thick">
        <color indexed="64"/>
      </top>
      <bottom style="thick">
        <color indexed="64"/>
      </bottom>
      <diagonal/>
    </border>
    <border>
      <left style="thin">
        <color indexed="64"/>
      </left>
      <right style="thick">
        <color indexed="64"/>
      </right>
      <top style="thin">
        <color indexed="64"/>
      </top>
      <bottom style="thick">
        <color indexed="64"/>
      </bottom>
      <diagonal/>
    </border>
  </borders>
  <cellStyleXfs count="1">
    <xf numFmtId="0" fontId="0" fillId="0" borderId="0"/>
  </cellStyleXfs>
  <cellXfs count="100">
    <xf numFmtId="0" fontId="0" fillId="0" borderId="0" xfId="0"/>
    <xf numFmtId="0" fontId="3" fillId="0" borderId="2" xfId="0" applyFont="1" applyBorder="1" applyAlignment="1">
      <alignment horizontal="center" vertical="top"/>
    </xf>
    <xf numFmtId="0" fontId="3" fillId="0" borderId="1" xfId="0" applyFont="1" applyBorder="1" applyAlignment="1">
      <alignment horizontal="center" vertical="top"/>
    </xf>
    <xf numFmtId="0" fontId="3" fillId="0" borderId="18" xfId="0" applyFont="1" applyBorder="1" applyAlignment="1">
      <alignment horizontal="center" vertical="top"/>
    </xf>
    <xf numFmtId="0" fontId="4" fillId="0" borderId="17" xfId="0" applyFont="1" applyBorder="1" applyAlignment="1">
      <alignment horizontal="center" vertical="top"/>
    </xf>
    <xf numFmtId="0" fontId="4" fillId="0" borderId="21" xfId="0" applyFont="1" applyBorder="1" applyAlignment="1">
      <alignment horizontal="center" vertical="top"/>
    </xf>
    <xf numFmtId="0" fontId="4" fillId="0" borderId="15" xfId="0" applyFont="1" applyBorder="1" applyAlignment="1">
      <alignment horizontal="center" vertical="top"/>
    </xf>
    <xf numFmtId="0" fontId="4" fillId="0" borderId="16" xfId="0" applyFont="1" applyBorder="1" applyAlignment="1">
      <alignment horizontal="center" vertical="top"/>
    </xf>
    <xf numFmtId="0" fontId="4" fillId="2" borderId="17" xfId="0" applyFont="1" applyFill="1" applyBorder="1" applyAlignment="1">
      <alignment horizontal="center" vertical="top"/>
    </xf>
    <xf numFmtId="0" fontId="4" fillId="0" borderId="0" xfId="0" applyFont="1" applyAlignment="1">
      <alignment horizontal="center" vertical="top"/>
    </xf>
    <xf numFmtId="0" fontId="3" fillId="0" borderId="0" xfId="0" applyFont="1" applyAlignment="1">
      <alignment horizontal="left" vertical="top"/>
    </xf>
    <xf numFmtId="0" fontId="3" fillId="0" borderId="0" xfId="0" applyFont="1" applyAlignment="1">
      <alignment horizontal="center" vertical="top"/>
    </xf>
    <xf numFmtId="0" fontId="4" fillId="0" borderId="8" xfId="0" applyFont="1" applyBorder="1" applyAlignment="1">
      <alignment horizontal="center" vertical="top"/>
    </xf>
    <xf numFmtId="0" fontId="4" fillId="0" borderId="20" xfId="0" applyFont="1" applyBorder="1" applyAlignment="1">
      <alignment horizontal="center" vertical="top"/>
    </xf>
    <xf numFmtId="20" fontId="3" fillId="0" borderId="2" xfId="0" applyNumberFormat="1" applyFont="1" applyBorder="1" applyAlignment="1">
      <alignment horizontal="center" vertical="top"/>
    </xf>
    <xf numFmtId="0" fontId="4" fillId="0" borderId="2" xfId="0" applyFont="1" applyBorder="1" applyAlignment="1">
      <alignment horizontal="center" vertical="top"/>
    </xf>
    <xf numFmtId="0" fontId="5" fillId="0" borderId="0" xfId="0" applyFont="1" applyAlignment="1">
      <alignment horizontal="left" vertical="top"/>
    </xf>
    <xf numFmtId="0" fontId="3" fillId="3" borderId="1" xfId="0" applyFont="1" applyFill="1" applyBorder="1" applyAlignment="1">
      <alignment horizontal="center" vertical="top"/>
    </xf>
    <xf numFmtId="176" fontId="3" fillId="0" borderId="1" xfId="0" applyNumberFormat="1" applyFont="1" applyBorder="1" applyAlignment="1">
      <alignment horizontal="center" vertical="top"/>
    </xf>
    <xf numFmtId="20" fontId="4" fillId="2" borderId="0" xfId="0" applyNumberFormat="1" applyFont="1" applyFill="1" applyAlignment="1">
      <alignment horizontal="center" vertical="top"/>
    </xf>
    <xf numFmtId="0" fontId="3" fillId="2" borderId="0" xfId="0" applyFont="1" applyFill="1" applyAlignment="1">
      <alignment horizontal="center" vertical="top"/>
    </xf>
    <xf numFmtId="0" fontId="6" fillId="0" borderId="0" xfId="0" applyFont="1" applyAlignment="1">
      <alignment horizontal="center" vertical="top"/>
    </xf>
    <xf numFmtId="0" fontId="6" fillId="0" borderId="2" xfId="0" applyFont="1" applyBorder="1" applyAlignment="1">
      <alignment horizontal="center" vertical="top"/>
    </xf>
    <xf numFmtId="0" fontId="6" fillId="0" borderId="1" xfId="0" applyFont="1" applyBorder="1" applyAlignment="1">
      <alignment horizontal="center" vertical="top"/>
    </xf>
    <xf numFmtId="0" fontId="3" fillId="0" borderId="3" xfId="0" applyFont="1" applyBorder="1" applyAlignment="1">
      <alignment horizontal="center" vertical="top"/>
    </xf>
    <xf numFmtId="0" fontId="3" fillId="0" borderId="4" xfId="0" applyFont="1" applyBorder="1" applyAlignment="1">
      <alignment horizontal="center" vertical="top"/>
    </xf>
    <xf numFmtId="0" fontId="3" fillId="0" borderId="29" xfId="0" applyFont="1" applyBorder="1" applyAlignment="1">
      <alignment horizontal="center" vertical="top"/>
    </xf>
    <xf numFmtId="0" fontId="3" fillId="0" borderId="27" xfId="0" applyFont="1" applyBorder="1" applyAlignment="1">
      <alignment horizontal="center" vertical="top"/>
    </xf>
    <xf numFmtId="0" fontId="3" fillId="0" borderId="28" xfId="0" applyFont="1" applyBorder="1" applyAlignment="1">
      <alignment horizontal="center" vertical="top"/>
    </xf>
    <xf numFmtId="0" fontId="3" fillId="0" borderId="26" xfId="0" applyFont="1" applyBorder="1" applyAlignment="1">
      <alignment horizontal="center" vertical="top"/>
    </xf>
    <xf numFmtId="0" fontId="3" fillId="0" borderId="20" xfId="0" applyFont="1" applyBorder="1" applyAlignment="1">
      <alignment horizontal="center" vertical="top"/>
    </xf>
    <xf numFmtId="0" fontId="3" fillId="0" borderId="0" xfId="0" quotePrefix="1" applyFont="1" applyAlignment="1">
      <alignment horizontal="left" vertical="top"/>
    </xf>
    <xf numFmtId="20" fontId="4" fillId="3" borderId="18" xfId="0" applyNumberFormat="1" applyFont="1" applyFill="1" applyBorder="1" applyAlignment="1">
      <alignment horizontal="center" vertical="top"/>
    </xf>
    <xf numFmtId="0" fontId="3" fillId="3" borderId="5" xfId="0" applyFont="1" applyFill="1" applyBorder="1" applyAlignment="1">
      <alignment horizontal="center" vertical="top"/>
    </xf>
    <xf numFmtId="0" fontId="3" fillId="3" borderId="2" xfId="0" applyFont="1" applyFill="1" applyBorder="1" applyAlignment="1">
      <alignment horizontal="center" vertical="top"/>
    </xf>
    <xf numFmtId="0" fontId="3" fillId="3" borderId="4" xfId="0" applyFont="1" applyFill="1" applyBorder="1" applyAlignment="1">
      <alignment horizontal="center" vertical="top"/>
    </xf>
    <xf numFmtId="49" fontId="4" fillId="3" borderId="18" xfId="0" applyNumberFormat="1" applyFont="1" applyFill="1" applyBorder="1" applyAlignment="1">
      <alignment horizontal="center" vertical="top"/>
    </xf>
    <xf numFmtId="0" fontId="4" fillId="3" borderId="23" xfId="0" applyFont="1" applyFill="1" applyBorder="1" applyAlignment="1">
      <alignment horizontal="center" vertical="top"/>
    </xf>
    <xf numFmtId="0" fontId="4" fillId="3" borderId="9" xfId="0" applyFont="1" applyFill="1" applyBorder="1" applyAlignment="1">
      <alignment horizontal="center" vertical="top"/>
    </xf>
    <xf numFmtId="0" fontId="4" fillId="3" borderId="22" xfId="0" applyFont="1" applyFill="1" applyBorder="1" applyAlignment="1">
      <alignment horizontal="center" vertical="top"/>
    </xf>
    <xf numFmtId="0" fontId="7" fillId="0" borderId="0" xfId="0" applyFont="1" applyAlignment="1">
      <alignment horizontal="center" vertical="top"/>
    </xf>
    <xf numFmtId="0" fontId="3" fillId="0" borderId="6" xfId="0" applyFont="1" applyBorder="1" applyAlignment="1">
      <alignment horizontal="center" vertical="top"/>
    </xf>
    <xf numFmtId="0" fontId="3" fillId="4" borderId="13" xfId="0" applyFont="1" applyFill="1" applyBorder="1" applyAlignment="1">
      <alignment horizontal="center" vertical="top"/>
    </xf>
    <xf numFmtId="0" fontId="3" fillId="4" borderId="37" xfId="0" applyFont="1" applyFill="1" applyBorder="1" applyAlignment="1">
      <alignment horizontal="center" vertical="top"/>
    </xf>
    <xf numFmtId="0" fontId="3" fillId="3" borderId="37" xfId="0" applyFont="1" applyFill="1" applyBorder="1" applyAlignment="1">
      <alignment horizontal="center" vertical="top"/>
    </xf>
    <xf numFmtId="0" fontId="3" fillId="3" borderId="27" xfId="0" applyFont="1" applyFill="1" applyBorder="1" applyAlignment="1">
      <alignment horizontal="center" vertical="top"/>
    </xf>
    <xf numFmtId="0" fontId="0" fillId="0" borderId="1" xfId="0" applyBorder="1"/>
    <xf numFmtId="0" fontId="0" fillId="0" borderId="4" xfId="0" applyBorder="1"/>
    <xf numFmtId="20" fontId="0" fillId="0" borderId="26" xfId="0" applyNumberFormat="1" applyBorder="1"/>
    <xf numFmtId="0" fontId="0" fillId="0" borderId="31" xfId="0" applyBorder="1"/>
    <xf numFmtId="20" fontId="0" fillId="0" borderId="28" xfId="0" applyNumberFormat="1" applyBorder="1"/>
    <xf numFmtId="0" fontId="0" fillId="0" borderId="5" xfId="0" applyBorder="1"/>
    <xf numFmtId="0" fontId="0" fillId="0" borderId="2" xfId="0" applyBorder="1"/>
    <xf numFmtId="0" fontId="0" fillId="0" borderId="32" xfId="0" applyBorder="1"/>
    <xf numFmtId="0" fontId="0" fillId="0" borderId="27" xfId="0" applyBorder="1"/>
    <xf numFmtId="20" fontId="0" fillId="0" borderId="33" xfId="0" applyNumberFormat="1" applyBorder="1"/>
    <xf numFmtId="0" fontId="0" fillId="0" borderId="7" xfId="0" applyBorder="1"/>
    <xf numFmtId="0" fontId="0" fillId="0" borderId="18" xfId="0" applyBorder="1"/>
    <xf numFmtId="0" fontId="0" fillId="0" borderId="34" xfId="0" applyBorder="1"/>
    <xf numFmtId="177" fontId="0" fillId="0" borderId="29" xfId="0" applyNumberFormat="1" applyBorder="1"/>
    <xf numFmtId="177" fontId="0" fillId="0" borderId="6" xfId="0" applyNumberFormat="1" applyBorder="1"/>
    <xf numFmtId="177" fontId="0" fillId="0" borderId="3" xfId="0" applyNumberFormat="1" applyBorder="1"/>
    <xf numFmtId="20" fontId="0" fillId="0" borderId="20" xfId="0" applyNumberFormat="1" applyBorder="1"/>
    <xf numFmtId="0" fontId="0" fillId="0" borderId="23" xfId="0" applyBorder="1"/>
    <xf numFmtId="0" fontId="0" fillId="0" borderId="9" xfId="0" applyBorder="1"/>
    <xf numFmtId="0" fontId="0" fillId="0" borderId="39" xfId="0" applyBorder="1"/>
    <xf numFmtId="0" fontId="3" fillId="0" borderId="1" xfId="0" applyFont="1" applyBorder="1" applyAlignment="1">
      <alignment horizontal="center" vertical="top"/>
    </xf>
    <xf numFmtId="0" fontId="3" fillId="3" borderId="1" xfId="0" applyFont="1" applyFill="1" applyBorder="1" applyAlignment="1">
      <alignment horizontal="center" vertical="top"/>
    </xf>
    <xf numFmtId="0" fontId="3" fillId="3" borderId="10" xfId="0" applyFont="1" applyFill="1" applyBorder="1" applyAlignment="1">
      <alignment horizontal="center" vertical="top"/>
    </xf>
    <xf numFmtId="0" fontId="8" fillId="0" borderId="1" xfId="0" applyFont="1" applyBorder="1" applyAlignment="1">
      <alignment horizontal="center" vertical="top"/>
    </xf>
    <xf numFmtId="0" fontId="3" fillId="0" borderId="38" xfId="0" applyFont="1" applyBorder="1" applyAlignment="1">
      <alignment horizontal="center" vertical="top"/>
    </xf>
    <xf numFmtId="0" fontId="3" fillId="0" borderId="35" xfId="0" applyFont="1" applyBorder="1" applyAlignment="1">
      <alignment horizontal="center" vertical="top"/>
    </xf>
    <xf numFmtId="0" fontId="3" fillId="0" borderId="29" xfId="0" applyFont="1" applyBorder="1" applyAlignment="1">
      <alignment horizontal="center" vertical="top"/>
    </xf>
    <xf numFmtId="0" fontId="3" fillId="0" borderId="2" xfId="0" applyFont="1" applyBorder="1" applyAlignment="1">
      <alignment horizontal="center" vertical="top"/>
    </xf>
    <xf numFmtId="0" fontId="3" fillId="0" borderId="10" xfId="0" applyFont="1" applyBorder="1" applyAlignment="1">
      <alignment horizontal="center" vertical="top"/>
    </xf>
    <xf numFmtId="0" fontId="3" fillId="0" borderId="36" xfId="0" applyFont="1" applyBorder="1" applyAlignment="1">
      <alignment horizontal="center" vertical="top"/>
    </xf>
    <xf numFmtId="20" fontId="3" fillId="0" borderId="24" xfId="0" applyNumberFormat="1" applyFont="1" applyBorder="1" applyAlignment="1">
      <alignment horizontal="center" vertical="top"/>
    </xf>
    <xf numFmtId="20" fontId="3" fillId="0" borderId="6" xfId="0" applyNumberFormat="1" applyFont="1" applyBorder="1" applyAlignment="1">
      <alignment horizontal="center" vertical="top"/>
    </xf>
    <xf numFmtId="20" fontId="3" fillId="0" borderId="30" xfId="0" applyNumberFormat="1" applyFont="1" applyBorder="1" applyAlignment="1">
      <alignment horizontal="center" vertical="top"/>
    </xf>
    <xf numFmtId="0" fontId="4" fillId="0" borderId="19" xfId="0" applyFont="1" applyBorder="1" applyAlignment="1">
      <alignment horizontal="center" vertical="top"/>
    </xf>
    <xf numFmtId="0" fontId="4" fillId="0" borderId="17" xfId="0" applyFont="1" applyBorder="1" applyAlignment="1">
      <alignment horizontal="center" vertical="top"/>
    </xf>
    <xf numFmtId="0" fontId="4" fillId="0" borderId="21" xfId="0" applyFont="1" applyBorder="1" applyAlignment="1">
      <alignment horizontal="center" vertical="top"/>
    </xf>
    <xf numFmtId="0" fontId="4" fillId="0" borderId="9" xfId="0" applyFont="1" applyBorder="1" applyAlignment="1">
      <alignment horizontal="center" vertical="top"/>
    </xf>
    <xf numFmtId="0" fontId="4" fillId="0" borderId="22" xfId="0" applyFont="1" applyBorder="1" applyAlignment="1">
      <alignment horizontal="center" vertical="top"/>
    </xf>
    <xf numFmtId="0" fontId="3" fillId="0" borderId="24" xfId="0" applyFont="1" applyBorder="1" applyAlignment="1">
      <alignment horizontal="center" vertical="top"/>
    </xf>
    <xf numFmtId="0" fontId="3" fillId="0" borderId="6" xfId="0" applyFont="1" applyBorder="1" applyAlignment="1">
      <alignment horizontal="center" vertical="top"/>
    </xf>
    <xf numFmtId="0" fontId="3" fillId="0" borderId="30" xfId="0" applyFont="1" applyBorder="1" applyAlignment="1">
      <alignment horizontal="center" vertical="top"/>
    </xf>
    <xf numFmtId="0" fontId="3" fillId="0" borderId="14" xfId="0" applyFont="1" applyBorder="1" applyAlignment="1">
      <alignment horizontal="center" vertical="top"/>
    </xf>
    <xf numFmtId="0" fontId="3" fillId="0" borderId="11" xfId="0" applyFont="1" applyBorder="1" applyAlignment="1">
      <alignment horizontal="center" vertical="top"/>
    </xf>
    <xf numFmtId="0" fontId="3" fillId="0" borderId="4" xfId="0" applyFont="1" applyBorder="1" applyAlignment="1">
      <alignment horizontal="center" vertical="top"/>
    </xf>
    <xf numFmtId="20" fontId="3" fillId="0" borderId="1" xfId="0" applyNumberFormat="1" applyFont="1" applyBorder="1" applyAlignment="1">
      <alignment horizontal="center" vertical="top"/>
    </xf>
    <xf numFmtId="0" fontId="7" fillId="0" borderId="1" xfId="0" applyFont="1" applyBorder="1" applyAlignment="1">
      <alignment horizontal="center" vertical="top"/>
    </xf>
    <xf numFmtId="0" fontId="3" fillId="0" borderId="18" xfId="0" applyFont="1" applyBorder="1" applyAlignment="1">
      <alignment horizontal="center" vertical="top"/>
    </xf>
    <xf numFmtId="0" fontId="3" fillId="0" borderId="12" xfId="0" applyFont="1" applyBorder="1" applyAlignment="1">
      <alignment horizontal="center" vertical="top"/>
    </xf>
    <xf numFmtId="0" fontId="3" fillId="0" borderId="22" xfId="0" applyFont="1" applyBorder="1" applyAlignment="1">
      <alignment horizontal="left" vertical="top"/>
    </xf>
    <xf numFmtId="0" fontId="3" fillId="0" borderId="25" xfId="0" applyFont="1" applyBorder="1" applyAlignment="1">
      <alignment horizontal="left" vertical="top"/>
    </xf>
    <xf numFmtId="0" fontId="3" fillId="0" borderId="23" xfId="0" applyFont="1" applyBorder="1" applyAlignment="1">
      <alignment horizontal="left" vertical="top"/>
    </xf>
    <xf numFmtId="20" fontId="3" fillId="0" borderId="10" xfId="0" applyNumberFormat="1" applyFont="1" applyBorder="1" applyAlignment="1">
      <alignment horizontal="center" vertical="top"/>
    </xf>
    <xf numFmtId="20" fontId="3" fillId="0" borderId="11" xfId="0" applyNumberFormat="1" applyFont="1" applyBorder="1" applyAlignment="1">
      <alignment horizontal="center" vertical="top"/>
    </xf>
    <xf numFmtId="20" fontId="3" fillId="0" borderId="4" xfId="0" applyNumberFormat="1" applyFont="1" applyBorder="1" applyAlignment="1">
      <alignment horizontal="center" vertical="top"/>
    </xf>
  </cellXfs>
  <cellStyles count="1">
    <cellStyle name="標準" xfId="0" builtinId="0"/>
  </cellStyles>
  <dxfs count="1">
    <dxf>
      <fill>
        <patternFill>
          <bgColor theme="6" tint="0.5999938962981048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120650</xdr:colOff>
          <xdr:row>7</xdr:row>
          <xdr:rowOff>50800</xdr:rowOff>
        </xdr:from>
        <xdr:to>
          <xdr:col>2</xdr:col>
          <xdr:colOff>304800</xdr:colOff>
          <xdr:row>10</xdr:row>
          <xdr:rowOff>101600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Yu Gothic"/>
                  <a:ea typeface="Yu Gothic"/>
                </a:rPr>
                <a:t>ボタン①</a:t>
              </a:r>
            </a:p>
            <a:p>
              <a:pPr algn="ctr" rtl="0">
                <a:defRPr sz="1000"/>
              </a:pPr>
              <a:endParaRPr lang="ja-JP" altLang="en-US" sz="1100" b="0" i="0" u="none" strike="noStrike" baseline="0">
                <a:solidFill>
                  <a:srgbClr val="000000"/>
                </a:solidFill>
                <a:latin typeface="Yu Gothic"/>
                <a:ea typeface="Yu Gothic"/>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508000</xdr:colOff>
          <xdr:row>12</xdr:row>
          <xdr:rowOff>31750</xdr:rowOff>
        </xdr:from>
        <xdr:to>
          <xdr:col>7</xdr:col>
          <xdr:colOff>31750</xdr:colOff>
          <xdr:row>14</xdr:row>
          <xdr:rowOff>139700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Yu Gothic"/>
                  <a:ea typeface="Yu Gothic"/>
                </a:rPr>
                <a:t>ボタン③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469900</xdr:colOff>
          <xdr:row>12</xdr:row>
          <xdr:rowOff>19050</xdr:rowOff>
        </xdr:from>
        <xdr:to>
          <xdr:col>11</xdr:col>
          <xdr:colOff>25400</xdr:colOff>
          <xdr:row>14</xdr:row>
          <xdr:rowOff>139700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Yu Gothic"/>
                  <a:ea typeface="Yu Gothic"/>
                </a:rPr>
                <a:t>ボタン④</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82550</xdr:colOff>
          <xdr:row>7</xdr:row>
          <xdr:rowOff>95250</xdr:rowOff>
        </xdr:from>
        <xdr:to>
          <xdr:col>9</xdr:col>
          <xdr:colOff>425450</xdr:colOff>
          <xdr:row>10</xdr:row>
          <xdr:rowOff>82550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Yu Gothic"/>
                  <a:ea typeface="Yu Gothic"/>
                </a:rPr>
                <a:t>ボタン②</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139700</xdr:colOff>
          <xdr:row>1</xdr:row>
          <xdr:rowOff>101600</xdr:rowOff>
        </xdr:from>
        <xdr:to>
          <xdr:col>27</xdr:col>
          <xdr:colOff>400050</xdr:colOff>
          <xdr:row>3</xdr:row>
          <xdr:rowOff>95250</xdr:rowOff>
        </xdr:to>
        <xdr:sp macro="" textlink="">
          <xdr:nvSpPr>
            <xdr:cNvPr id="1113" name="Button 89" hidden="1">
              <a:extLst>
                <a:ext uri="{63B3BB69-23CF-44E3-9099-C40C66FF867C}">
                  <a14:compatExt spid="_x0000_s1113"/>
                </a:ext>
                <a:ext uri="{FF2B5EF4-FFF2-40B4-BE49-F238E27FC236}">
                  <a16:creationId xmlns:a16="http://schemas.microsoft.com/office/drawing/2014/main" id="{00000000-0008-0000-0000-0000590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Yu Gothic"/>
                  <a:ea typeface="Yu Gothic"/>
                </a:rPr>
                <a:t>書式設定用ボタン</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266700</xdr:colOff>
          <xdr:row>13</xdr:row>
          <xdr:rowOff>69850</xdr:rowOff>
        </xdr:from>
        <xdr:to>
          <xdr:col>23</xdr:col>
          <xdr:colOff>463550</xdr:colOff>
          <xdr:row>14</xdr:row>
          <xdr:rowOff>120650</xdr:rowOff>
        </xdr:to>
        <xdr:sp macro="" textlink="">
          <xdr:nvSpPr>
            <xdr:cNvPr id="1114" name="Button 90" hidden="1">
              <a:extLst>
                <a:ext uri="{63B3BB69-23CF-44E3-9099-C40C66FF867C}">
                  <a14:compatExt spid="_x0000_s1114"/>
                </a:ext>
                <a:ext uri="{FF2B5EF4-FFF2-40B4-BE49-F238E27FC236}">
                  <a16:creationId xmlns:a16="http://schemas.microsoft.com/office/drawing/2014/main" id="{00000000-0008-0000-0000-00005A0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Yu Gothic"/>
                  <a:ea typeface="Yu Gothic"/>
                </a:rPr>
                <a:t>すべてデフォルトにする</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Q47"/>
  <sheetViews>
    <sheetView tabSelected="1" zoomScale="69" zoomScaleNormal="69" zoomScalePageLayoutView="73" workbookViewId="0">
      <selection activeCell="S23" sqref="S23"/>
    </sheetView>
  </sheetViews>
  <sheetFormatPr defaultColWidth="7.9140625" defaultRowHeight="13.65" customHeight="1"/>
  <cols>
    <col min="2" max="39" width="7.9140625" customWidth="1"/>
  </cols>
  <sheetData>
    <row r="1" spans="1:43" s="11" customFormat="1" ht="13.65" customHeight="1" thickTop="1" thickBot="1">
      <c r="A1" s="79" t="s">
        <v>0</v>
      </c>
      <c r="B1" s="80"/>
      <c r="C1" s="81"/>
      <c r="D1" s="6" t="s">
        <v>51</v>
      </c>
      <c r="E1" s="7" t="s">
        <v>59</v>
      </c>
      <c r="F1" s="8" t="s">
        <v>60</v>
      </c>
      <c r="G1" s="4" t="s">
        <v>61</v>
      </c>
      <c r="H1" s="4" t="s">
        <v>62</v>
      </c>
      <c r="I1" s="5" t="s">
        <v>63</v>
      </c>
      <c r="J1" s="6" t="s">
        <v>6</v>
      </c>
      <c r="K1" s="21"/>
      <c r="L1" s="21"/>
      <c r="M1" s="9"/>
      <c r="N1" s="10" t="s">
        <v>64</v>
      </c>
      <c r="Q1" s="76" t="s">
        <v>42</v>
      </c>
      <c r="R1" s="77"/>
      <c r="S1" s="77"/>
      <c r="T1" s="77"/>
      <c r="U1" s="77"/>
      <c r="V1" s="77"/>
      <c r="W1" s="77"/>
      <c r="X1" s="77"/>
      <c r="Y1" s="77"/>
      <c r="Z1" s="77"/>
      <c r="AA1" s="77"/>
      <c r="AB1" s="78"/>
      <c r="AC1" s="27" t="s">
        <v>47</v>
      </c>
      <c r="AD1" s="26" t="s">
        <v>45</v>
      </c>
      <c r="AE1" s="24" t="s">
        <v>46</v>
      </c>
      <c r="AF1" s="31" t="s">
        <v>49</v>
      </c>
    </row>
    <row r="2" spans="1:43" s="11" customFormat="1" ht="13.65" customHeight="1" thickTop="1" thickBot="1">
      <c r="A2" s="12" t="s">
        <v>3</v>
      </c>
      <c r="B2" s="82"/>
      <c r="C2" s="83"/>
      <c r="D2" s="13"/>
      <c r="E2" s="37">
        <v>12</v>
      </c>
      <c r="F2" s="38"/>
      <c r="G2" s="38">
        <v>12</v>
      </c>
      <c r="H2" s="38"/>
      <c r="I2" s="39">
        <v>11</v>
      </c>
      <c r="J2" s="13">
        <f>SUM(E2:I2)</f>
        <v>35</v>
      </c>
      <c r="K2" s="9"/>
      <c r="L2" s="9"/>
      <c r="M2" s="9"/>
      <c r="Q2" s="1" t="s">
        <v>27</v>
      </c>
      <c r="R2" s="14" t="s">
        <v>28</v>
      </c>
      <c r="S2" s="14" t="s">
        <v>31</v>
      </c>
      <c r="T2" s="1" t="s">
        <v>29</v>
      </c>
      <c r="U2" s="14" t="s">
        <v>30</v>
      </c>
      <c r="V2" s="1" t="s">
        <v>32</v>
      </c>
      <c r="W2" s="1" t="s">
        <v>26</v>
      </c>
      <c r="X2" s="1" t="s">
        <v>33</v>
      </c>
      <c r="Y2" s="22" t="s">
        <v>43</v>
      </c>
      <c r="Z2" s="73"/>
      <c r="AA2" s="73"/>
      <c r="AB2" s="87"/>
      <c r="AC2" s="28" t="str">
        <f>R13</f>
        <v>季　英語</v>
      </c>
      <c r="AD2" s="33">
        <v>10</v>
      </c>
      <c r="AE2" s="34">
        <v>0.6</v>
      </c>
      <c r="AF2" s="31" t="s">
        <v>50</v>
      </c>
    </row>
    <row r="3" spans="1:43" s="11" customFormat="1" ht="13.65" customHeight="1" thickTop="1">
      <c r="A3" s="15"/>
      <c r="B3" s="15"/>
      <c r="C3" s="15"/>
      <c r="D3" s="15" t="s">
        <v>1</v>
      </c>
      <c r="E3" s="15">
        <f>COUNTIF(15:1048576,R13)</f>
        <v>12</v>
      </c>
      <c r="F3" s="15">
        <f>COUNTIF(15:1048576,S13)</f>
        <v>0</v>
      </c>
      <c r="G3" s="15">
        <f>COUNTIF(15:1048576,T13)</f>
        <v>12</v>
      </c>
      <c r="H3" s="15">
        <f>COUNTIF(15:1048576,U13)</f>
        <v>0</v>
      </c>
      <c r="I3" s="15">
        <f>COUNTIF(15:1048576,V13)</f>
        <v>11</v>
      </c>
      <c r="J3" s="1">
        <f>SUM(E3:I3)</f>
        <v>35</v>
      </c>
      <c r="K3" s="16" t="str">
        <f>IF(J2=J3, "", "エラー: 各教科のコマ数の合計と希望日程表に入力されたコマ数の合計が一致しません。")</f>
        <v/>
      </c>
      <c r="Q3" s="17">
        <v>2.5</v>
      </c>
      <c r="R3" s="17">
        <v>2.5</v>
      </c>
      <c r="S3" s="17">
        <v>2</v>
      </c>
      <c r="T3" s="17">
        <v>2</v>
      </c>
      <c r="U3" s="17">
        <v>0.48</v>
      </c>
      <c r="V3" s="17">
        <v>7.35</v>
      </c>
      <c r="W3" s="17" t="s">
        <v>34</v>
      </c>
      <c r="X3" s="17">
        <v>10</v>
      </c>
      <c r="Y3" s="23" t="s">
        <v>44</v>
      </c>
      <c r="Z3" s="66"/>
      <c r="AA3" s="66"/>
      <c r="AB3" s="74"/>
      <c r="AC3" s="28" t="str">
        <f>S13</f>
        <v>季　国語</v>
      </c>
      <c r="AD3" s="35">
        <v>9</v>
      </c>
      <c r="AE3" s="17">
        <v>0.6</v>
      </c>
    </row>
    <row r="4" spans="1:43" s="11" customFormat="1" ht="13.65" customHeight="1" thickBot="1">
      <c r="A4" s="73" t="s">
        <v>10</v>
      </c>
      <c r="B4" s="73"/>
      <c r="C4" s="73"/>
      <c r="D4" s="73"/>
      <c r="E4" s="73"/>
      <c r="F4" s="73"/>
      <c r="G4" s="73"/>
      <c r="H4" s="73"/>
      <c r="I4" s="73"/>
      <c r="J4" s="73"/>
      <c r="Q4" s="3"/>
      <c r="R4" s="3"/>
      <c r="S4" s="3"/>
      <c r="T4" s="3"/>
      <c r="U4" s="94" t="s">
        <v>25</v>
      </c>
      <c r="V4" s="95"/>
      <c r="W4" s="95"/>
      <c r="X4" s="95"/>
      <c r="Y4" s="96"/>
      <c r="Z4" s="92"/>
      <c r="AA4" s="92"/>
      <c r="AB4" s="93"/>
      <c r="AC4" s="28" t="str">
        <f>T13</f>
        <v>季　数学</v>
      </c>
      <c r="AD4" s="35">
        <v>8</v>
      </c>
      <c r="AE4" s="17">
        <v>0.6</v>
      </c>
    </row>
    <row r="5" spans="1:43" s="11" customFormat="1" ht="13.65" customHeight="1" thickTop="1" thickBot="1">
      <c r="Q5" s="84" t="s">
        <v>41</v>
      </c>
      <c r="R5" s="85"/>
      <c r="S5" s="85"/>
      <c r="T5" s="85"/>
      <c r="U5" s="85"/>
      <c r="V5" s="85"/>
      <c r="W5" s="85"/>
      <c r="X5" s="85"/>
      <c r="Y5" s="85"/>
      <c r="Z5" s="85"/>
      <c r="AA5" s="85"/>
      <c r="AB5" s="86"/>
      <c r="AC5" s="28" t="str">
        <f>U13</f>
        <v>季　社会</v>
      </c>
      <c r="AD5" s="35">
        <v>6</v>
      </c>
      <c r="AE5" s="17">
        <v>0.6</v>
      </c>
    </row>
    <row r="6" spans="1:43" s="11" customFormat="1" ht="13.65" customHeight="1" thickTop="1">
      <c r="A6" s="74" t="s">
        <v>9</v>
      </c>
      <c r="B6" s="88"/>
      <c r="C6" s="88"/>
      <c r="D6" s="88"/>
      <c r="E6" s="88"/>
      <c r="F6" s="88"/>
      <c r="G6" s="88"/>
      <c r="H6" s="88"/>
      <c r="I6" s="88"/>
      <c r="J6" s="88"/>
      <c r="K6" s="88"/>
      <c r="L6" s="88"/>
      <c r="M6" s="88"/>
      <c r="N6" s="88"/>
      <c r="O6" s="89"/>
      <c r="Q6" s="73" t="s">
        <v>40</v>
      </c>
      <c r="R6" s="73"/>
      <c r="S6" s="73"/>
      <c r="T6" s="73"/>
      <c r="U6" s="73" t="s">
        <v>4</v>
      </c>
      <c r="V6" s="73"/>
      <c r="W6" s="73"/>
      <c r="X6" s="73"/>
      <c r="Y6" s="73" t="s">
        <v>5</v>
      </c>
      <c r="Z6" s="73"/>
      <c r="AA6" s="73"/>
      <c r="AB6" s="87"/>
      <c r="AC6" s="28" t="str">
        <f>V13</f>
        <v>季　理科</v>
      </c>
      <c r="AD6" s="35">
        <v>5</v>
      </c>
      <c r="AE6" s="17">
        <v>0.6</v>
      </c>
    </row>
    <row r="7" spans="1:43" s="11" customFormat="1" ht="13.65" customHeight="1">
      <c r="A7" s="90" t="s">
        <v>15</v>
      </c>
      <c r="B7" s="90"/>
      <c r="C7" s="90"/>
      <c r="D7" s="66" t="s">
        <v>7</v>
      </c>
      <c r="E7" s="66"/>
      <c r="F7" s="66"/>
      <c r="G7" s="66"/>
      <c r="H7" s="66" t="s">
        <v>16</v>
      </c>
      <c r="I7" s="66"/>
      <c r="J7" s="66"/>
      <c r="K7" s="66" t="s">
        <v>8</v>
      </c>
      <c r="L7" s="66"/>
      <c r="M7" s="66"/>
      <c r="N7" s="66"/>
      <c r="O7" s="66"/>
      <c r="Q7" s="67">
        <v>14</v>
      </c>
      <c r="R7" s="67"/>
      <c r="S7" s="67"/>
      <c r="T7" s="67"/>
      <c r="U7" s="67">
        <v>9</v>
      </c>
      <c r="V7" s="67"/>
      <c r="W7" s="67"/>
      <c r="X7" s="67"/>
      <c r="Y7" s="67">
        <v>3</v>
      </c>
      <c r="Z7" s="67"/>
      <c r="AA7" s="67"/>
      <c r="AB7" s="68"/>
      <c r="AC7" s="29" t="s">
        <v>48</v>
      </c>
      <c r="AD7" s="35">
        <v>7</v>
      </c>
      <c r="AE7" s="17">
        <v>0.6</v>
      </c>
    </row>
    <row r="8" spans="1:43" s="11" customFormat="1" ht="13.65" customHeight="1" thickBot="1">
      <c r="A8" s="90"/>
      <c r="B8" s="90"/>
      <c r="C8" s="90"/>
      <c r="D8" s="66" t="s">
        <v>58</v>
      </c>
      <c r="E8" s="66"/>
      <c r="F8" s="66"/>
      <c r="G8" s="66"/>
      <c r="H8" s="66"/>
      <c r="I8" s="66"/>
      <c r="J8" s="66"/>
      <c r="K8" s="69" t="s">
        <v>56</v>
      </c>
      <c r="L8" s="69"/>
      <c r="M8" s="69"/>
      <c r="N8" s="69"/>
      <c r="O8" s="69"/>
      <c r="Q8" s="66" t="s">
        <v>12</v>
      </c>
      <c r="R8" s="66"/>
      <c r="S8" s="66"/>
      <c r="T8" s="66"/>
      <c r="U8" s="66"/>
      <c r="V8" s="66"/>
      <c r="W8" s="66"/>
      <c r="X8" s="66"/>
      <c r="Y8" s="66"/>
      <c r="Z8" s="66"/>
      <c r="AA8" s="66"/>
      <c r="AB8" s="74"/>
      <c r="AC8" s="30"/>
      <c r="AD8" s="25"/>
      <c r="AE8" s="2"/>
    </row>
    <row r="9" spans="1:43" s="11" customFormat="1" ht="13.65" customHeight="1" thickTop="1" thickBot="1">
      <c r="A9" s="90"/>
      <c r="B9" s="90"/>
      <c r="C9" s="90"/>
      <c r="D9" s="66"/>
      <c r="E9" s="66"/>
      <c r="F9" s="66"/>
      <c r="G9" s="66"/>
      <c r="H9" s="66"/>
      <c r="I9" s="66"/>
      <c r="J9" s="66"/>
      <c r="K9" s="66" t="s">
        <v>57</v>
      </c>
      <c r="L9" s="66"/>
      <c r="M9" s="66"/>
      <c r="N9" s="66"/>
      <c r="O9" s="66"/>
      <c r="Q9" s="36" t="s">
        <v>11</v>
      </c>
      <c r="R9" s="32">
        <v>0.54166666666666663</v>
      </c>
      <c r="S9" s="32">
        <v>0.58333333333333337</v>
      </c>
      <c r="T9" s="32">
        <v>0.625</v>
      </c>
      <c r="U9" s="32">
        <v>0.66666666666666663</v>
      </c>
      <c r="V9" s="32">
        <v>0.70833333333333337</v>
      </c>
      <c r="W9" s="32">
        <v>0.75</v>
      </c>
      <c r="X9" s="32">
        <v>0.79166666666666663</v>
      </c>
      <c r="Y9" s="32">
        <v>0.83333333333333337</v>
      </c>
      <c r="Z9" s="32">
        <v>0.875</v>
      </c>
      <c r="AA9" s="32"/>
      <c r="AB9" s="32"/>
      <c r="AC9" s="19"/>
      <c r="AD9" s="19"/>
      <c r="AE9" s="19"/>
      <c r="AF9" s="19"/>
      <c r="AG9" s="19"/>
      <c r="AH9" s="19"/>
      <c r="AI9" s="19"/>
      <c r="AJ9" s="19"/>
      <c r="AK9" s="19"/>
      <c r="AL9" s="19"/>
      <c r="AM9" s="19"/>
      <c r="AN9" s="19"/>
      <c r="AO9" s="19"/>
      <c r="AP9" s="19"/>
      <c r="AQ9" s="20"/>
    </row>
    <row r="10" spans="1:43" s="11" customFormat="1" ht="13.65" customHeight="1" thickTop="1" thickBot="1">
      <c r="A10" s="90"/>
      <c r="B10" s="90"/>
      <c r="C10" s="90"/>
      <c r="D10" s="66"/>
      <c r="E10" s="66"/>
      <c r="F10" s="66"/>
      <c r="G10" s="66"/>
      <c r="H10" s="66"/>
      <c r="I10" s="66"/>
      <c r="J10" s="66"/>
      <c r="K10" s="2">
        <v>1</v>
      </c>
      <c r="L10" s="2">
        <v>2</v>
      </c>
      <c r="M10" s="2">
        <v>3</v>
      </c>
      <c r="N10" s="2">
        <v>4</v>
      </c>
      <c r="O10" s="2">
        <v>5</v>
      </c>
      <c r="Q10" s="27" t="s">
        <v>55</v>
      </c>
      <c r="R10" s="70" t="s">
        <v>53</v>
      </c>
      <c r="S10" s="71"/>
      <c r="T10" s="71"/>
      <c r="U10" s="71"/>
      <c r="V10" s="72"/>
      <c r="W10" s="26">
        <v>6</v>
      </c>
      <c r="X10" s="41">
        <v>7</v>
      </c>
      <c r="Y10" s="26">
        <v>8</v>
      </c>
      <c r="Z10" s="41">
        <v>9</v>
      </c>
      <c r="AA10" s="26">
        <v>10</v>
      </c>
      <c r="AB10" s="24">
        <v>11</v>
      </c>
    </row>
    <row r="11" spans="1:43" s="11" customFormat="1" ht="13.65" customHeight="1" thickTop="1" thickBot="1">
      <c r="A11" s="90"/>
      <c r="B11" s="90"/>
      <c r="C11" s="90"/>
      <c r="D11" s="66"/>
      <c r="E11" s="66"/>
      <c r="F11" s="66"/>
      <c r="G11" s="66"/>
      <c r="H11" s="66"/>
      <c r="I11" s="66"/>
      <c r="J11" s="66"/>
      <c r="K11" s="18" t="str">
        <f>R11</f>
        <v>英語</v>
      </c>
      <c r="L11" s="18" t="str">
        <f>S11</f>
        <v>国語</v>
      </c>
      <c r="M11" s="18" t="str">
        <f>T11</f>
        <v>数学</v>
      </c>
      <c r="N11" s="18" t="str">
        <f>U11</f>
        <v>社会</v>
      </c>
      <c r="O11" s="18" t="str">
        <f>V11</f>
        <v>理科</v>
      </c>
      <c r="Q11" s="45">
        <v>5</v>
      </c>
      <c r="R11" s="44" t="s">
        <v>35</v>
      </c>
      <c r="S11" s="44" t="s">
        <v>36</v>
      </c>
      <c r="T11" s="44" t="s">
        <v>37</v>
      </c>
      <c r="U11" s="44" t="s">
        <v>38</v>
      </c>
      <c r="V11" s="44" t="s">
        <v>39</v>
      </c>
      <c r="W11" s="44"/>
      <c r="X11" s="44"/>
      <c r="Y11" s="44"/>
      <c r="Z11" s="44"/>
      <c r="AA11" s="44"/>
      <c r="AB11" s="44"/>
      <c r="AC11"/>
    </row>
    <row r="12" spans="1:43" s="11" customFormat="1" ht="13.65" customHeight="1" thickTop="1" thickBot="1">
      <c r="A12" s="66" t="s">
        <v>13</v>
      </c>
      <c r="B12" s="66"/>
      <c r="C12" s="66"/>
      <c r="D12" s="66"/>
      <c r="E12" s="97" t="s">
        <v>14</v>
      </c>
      <c r="F12" s="98"/>
      <c r="G12" s="98"/>
      <c r="H12" s="99"/>
      <c r="I12" s="74" t="s">
        <v>18</v>
      </c>
      <c r="J12" s="88"/>
      <c r="K12" s="88"/>
      <c r="L12" s="89"/>
      <c r="M12" s="74" t="s">
        <v>17</v>
      </c>
      <c r="N12" s="88"/>
      <c r="O12" s="89"/>
      <c r="Q12" s="27" t="s">
        <v>54</v>
      </c>
      <c r="R12" s="70" t="s">
        <v>52</v>
      </c>
      <c r="S12" s="71"/>
      <c r="T12" s="71"/>
      <c r="U12" s="71"/>
      <c r="V12" s="71"/>
      <c r="W12" s="71"/>
      <c r="X12" s="71"/>
      <c r="Y12" s="71"/>
      <c r="Z12" s="71"/>
      <c r="AA12" s="71"/>
      <c r="AB12" s="75"/>
    </row>
    <row r="13" spans="1:43" s="11" customFormat="1" ht="13.65" customHeight="1" thickTop="1" thickBot="1">
      <c r="A13" s="90" t="s">
        <v>2</v>
      </c>
      <c r="B13" s="90"/>
      <c r="C13" s="90"/>
      <c r="D13" s="90"/>
      <c r="E13" s="66"/>
      <c r="F13" s="66"/>
      <c r="G13" s="66"/>
      <c r="H13" s="66"/>
      <c r="I13" s="66"/>
      <c r="J13" s="66"/>
      <c r="K13" s="66"/>
      <c r="L13" s="66"/>
      <c r="M13" s="66"/>
      <c r="N13" s="66"/>
      <c r="O13" s="66"/>
      <c r="Q13" s="45">
        <v>5</v>
      </c>
      <c r="R13" s="42" t="s">
        <v>20</v>
      </c>
      <c r="S13" s="43" t="s">
        <v>21</v>
      </c>
      <c r="T13" s="43" t="s">
        <v>22</v>
      </c>
      <c r="U13" s="43" t="s">
        <v>23</v>
      </c>
      <c r="V13" s="43" t="s">
        <v>24</v>
      </c>
      <c r="W13" s="44"/>
      <c r="X13" s="44"/>
      <c r="Y13" s="44"/>
      <c r="Z13" s="34"/>
      <c r="AA13" s="34"/>
      <c r="AB13" s="34"/>
    </row>
    <row r="14" spans="1:43" s="40" customFormat="1" ht="13.65" customHeight="1" thickTop="1">
      <c r="A14" s="90" t="s">
        <v>19</v>
      </c>
      <c r="B14" s="90"/>
      <c r="C14" s="90"/>
      <c r="D14" s="90"/>
      <c r="E14" s="66"/>
      <c r="F14" s="66"/>
      <c r="G14" s="66"/>
      <c r="H14" s="66"/>
      <c r="I14" s="66"/>
      <c r="J14" s="66"/>
      <c r="K14" s="66"/>
      <c r="L14" s="66"/>
      <c r="M14" s="66"/>
      <c r="N14" s="66"/>
      <c r="O14" s="66"/>
      <c r="Q14" s="73"/>
      <c r="R14" s="66"/>
      <c r="S14" s="66"/>
      <c r="T14" s="66"/>
      <c r="U14" s="66"/>
      <c r="V14" s="66"/>
      <c r="W14" s="66"/>
      <c r="X14" s="66"/>
      <c r="Y14" s="66"/>
      <c r="Z14" s="73"/>
      <c r="AA14" s="73"/>
      <c r="AB14" s="73"/>
    </row>
    <row r="15" spans="1:43" s="40" customFormat="1" ht="13.65" customHeight="1">
      <c r="A15" s="91"/>
      <c r="B15" s="91"/>
      <c r="C15" s="91"/>
      <c r="D15" s="91"/>
      <c r="E15" s="66"/>
      <c r="F15" s="66"/>
      <c r="G15" s="66"/>
      <c r="H15" s="66"/>
      <c r="I15" s="66"/>
      <c r="J15" s="66"/>
      <c r="K15" s="66"/>
      <c r="L15" s="66"/>
      <c r="M15" s="66"/>
      <c r="N15" s="66"/>
      <c r="O15" s="66"/>
      <c r="Q15" s="66"/>
      <c r="R15" s="66"/>
      <c r="S15" s="66"/>
      <c r="T15" s="66"/>
      <c r="U15" s="66"/>
      <c r="V15" s="66"/>
      <c r="W15" s="66"/>
      <c r="X15" s="66"/>
      <c r="Y15" s="66"/>
      <c r="Z15" s="66"/>
      <c r="AA15" s="66"/>
      <c r="AB15" s="66"/>
    </row>
    <row r="16" spans="1:43" ht="13.65" customHeight="1" thickBot="1"/>
    <row r="17" spans="1:15" ht="13.65" customHeight="1" thickTop="1" thickBot="1">
      <c r="A17" s="54" t="s">
        <v>65</v>
      </c>
      <c r="B17" s="59">
        <v>45292</v>
      </c>
      <c r="C17" s="60">
        <v>45293</v>
      </c>
      <c r="D17" s="60">
        <v>45294</v>
      </c>
      <c r="E17" s="60">
        <v>45295</v>
      </c>
      <c r="F17" s="60">
        <v>45296</v>
      </c>
      <c r="G17" s="60">
        <v>45297</v>
      </c>
      <c r="H17" s="60">
        <v>45298</v>
      </c>
      <c r="I17" s="60">
        <v>45299</v>
      </c>
      <c r="J17" s="60">
        <v>45300</v>
      </c>
      <c r="K17" s="60">
        <v>45301</v>
      </c>
      <c r="L17" s="60">
        <v>45302</v>
      </c>
      <c r="M17" s="60">
        <v>45303</v>
      </c>
      <c r="N17" s="60">
        <v>45304</v>
      </c>
      <c r="O17" s="61">
        <v>45305</v>
      </c>
    </row>
    <row r="18" spans="1:15" ht="13.65" customHeight="1" thickTop="1">
      <c r="A18" s="50">
        <v>0.54166666666666663</v>
      </c>
      <c r="B18" s="51"/>
      <c r="C18" s="52" t="s">
        <v>66</v>
      </c>
      <c r="D18" s="52" t="s">
        <v>67</v>
      </c>
      <c r="E18" s="52" t="s">
        <v>67</v>
      </c>
      <c r="F18" s="52" t="s">
        <v>66</v>
      </c>
      <c r="G18" s="52" t="s">
        <v>67</v>
      </c>
      <c r="H18" s="52"/>
      <c r="I18" s="52"/>
      <c r="J18" s="52"/>
      <c r="K18" s="52"/>
      <c r="L18" s="52"/>
      <c r="M18" s="52"/>
      <c r="N18" s="52"/>
      <c r="O18" s="53"/>
    </row>
    <row r="19" spans="1:15" ht="13.65" customHeight="1">
      <c r="A19" s="48">
        <v>0.58333333333333337</v>
      </c>
      <c r="B19" s="47"/>
      <c r="C19" s="52" t="s">
        <v>66</v>
      </c>
      <c r="D19" s="52" t="s">
        <v>68</v>
      </c>
      <c r="E19" s="52" t="s">
        <v>67</v>
      </c>
      <c r="F19" s="52" t="s">
        <v>68</v>
      </c>
      <c r="G19" s="52" t="s">
        <v>68</v>
      </c>
      <c r="H19" s="46"/>
      <c r="I19" s="46"/>
      <c r="J19" s="46"/>
      <c r="K19" s="46"/>
      <c r="L19" s="46"/>
      <c r="M19" s="46"/>
      <c r="N19" s="46"/>
      <c r="O19" s="49"/>
    </row>
    <row r="20" spans="1:15" ht="13.65" customHeight="1">
      <c r="A20" s="48">
        <v>0.625</v>
      </c>
      <c r="B20" s="47"/>
      <c r="C20" s="52" t="s">
        <v>68</v>
      </c>
      <c r="D20" s="52" t="s">
        <v>66</v>
      </c>
      <c r="E20" s="52" t="s">
        <v>68</v>
      </c>
      <c r="F20" s="52" t="s">
        <v>68</v>
      </c>
      <c r="G20" s="52" t="s">
        <v>66</v>
      </c>
      <c r="H20" s="46"/>
      <c r="I20" s="46"/>
      <c r="J20" s="46"/>
      <c r="K20" s="46"/>
      <c r="L20" s="46"/>
      <c r="M20" s="46"/>
      <c r="N20" s="46"/>
      <c r="O20" s="49"/>
    </row>
    <row r="21" spans="1:15" ht="13.65" customHeight="1">
      <c r="A21" s="48">
        <v>0.66666666666666663</v>
      </c>
      <c r="B21" s="47"/>
      <c r="C21" s="52" t="s">
        <v>67</v>
      </c>
      <c r="D21" s="52" t="s">
        <v>68</v>
      </c>
      <c r="E21" s="52" t="s">
        <v>66</v>
      </c>
      <c r="F21" s="52" t="s">
        <v>66</v>
      </c>
      <c r="G21" s="52" t="s">
        <v>68</v>
      </c>
      <c r="H21" s="46"/>
      <c r="I21" s="46"/>
      <c r="J21" s="46"/>
      <c r="K21" s="46"/>
      <c r="L21" s="46"/>
      <c r="M21" s="46"/>
      <c r="N21" s="46"/>
      <c r="O21" s="49"/>
    </row>
    <row r="22" spans="1:15" ht="13.65" customHeight="1">
      <c r="A22" s="48">
        <v>0.70833333333333337</v>
      </c>
      <c r="B22" s="47"/>
      <c r="C22" s="52" t="s">
        <v>67</v>
      </c>
      <c r="D22" s="52" t="s">
        <v>66</v>
      </c>
      <c r="E22" s="52" t="s">
        <v>67</v>
      </c>
      <c r="F22" s="52" t="s">
        <v>67</v>
      </c>
      <c r="G22" s="52" t="s">
        <v>67</v>
      </c>
      <c r="H22" s="46"/>
      <c r="I22" s="46"/>
      <c r="J22" s="46"/>
      <c r="K22" s="46"/>
      <c r="L22" s="46"/>
      <c r="M22" s="46"/>
      <c r="N22" s="46"/>
      <c r="O22" s="49"/>
    </row>
    <row r="23" spans="1:15" ht="13.65" customHeight="1">
      <c r="A23" s="48">
        <v>0.75</v>
      </c>
      <c r="B23" s="47"/>
      <c r="C23" s="52" t="s">
        <v>68</v>
      </c>
      <c r="D23" s="52" t="s">
        <v>68</v>
      </c>
      <c r="E23" s="52" t="s">
        <v>66</v>
      </c>
      <c r="F23" s="52" t="s">
        <v>66</v>
      </c>
      <c r="G23" s="52" t="s">
        <v>67</v>
      </c>
      <c r="H23" s="46"/>
      <c r="I23" s="46"/>
      <c r="J23" s="46"/>
      <c r="K23" s="46"/>
      <c r="L23" s="46"/>
      <c r="M23" s="46"/>
      <c r="N23" s="46"/>
      <c r="O23" s="49"/>
    </row>
    <row r="24" spans="1:15" ht="13.65" customHeight="1">
      <c r="A24" s="48">
        <v>0.79166666666666663</v>
      </c>
      <c r="B24" s="47"/>
      <c r="C24" s="52" t="s">
        <v>66</v>
      </c>
      <c r="D24" s="52" t="s">
        <v>67</v>
      </c>
      <c r="E24" s="52" t="s">
        <v>68</v>
      </c>
      <c r="F24" s="52" t="s">
        <v>66</v>
      </c>
      <c r="G24" s="52" t="s">
        <v>67</v>
      </c>
      <c r="H24" s="46"/>
      <c r="I24" s="46"/>
      <c r="J24" s="46"/>
      <c r="K24" s="46"/>
      <c r="L24" s="46"/>
      <c r="M24" s="46"/>
      <c r="N24" s="46"/>
      <c r="O24" s="49"/>
    </row>
    <row r="25" spans="1:15" ht="13.65" customHeight="1">
      <c r="A25" s="48">
        <v>0.83333333333333337</v>
      </c>
      <c r="B25" s="47"/>
      <c r="C25" s="52"/>
      <c r="D25" s="52"/>
      <c r="E25" s="52"/>
      <c r="F25" s="52"/>
      <c r="G25" s="52"/>
      <c r="H25" s="46"/>
      <c r="I25" s="46"/>
      <c r="J25" s="46"/>
      <c r="K25" s="46"/>
      <c r="L25" s="46"/>
      <c r="M25" s="46"/>
      <c r="N25" s="46"/>
      <c r="O25" s="49"/>
    </row>
    <row r="26" spans="1:15" ht="13.65" customHeight="1" thickBot="1">
      <c r="A26" s="55">
        <v>0.875</v>
      </c>
      <c r="B26" s="56"/>
      <c r="C26" s="57"/>
      <c r="D26" s="57"/>
      <c r="E26" s="57"/>
      <c r="F26" s="57"/>
      <c r="G26" s="57"/>
      <c r="H26" s="57"/>
      <c r="I26" s="57"/>
      <c r="J26" s="57"/>
      <c r="K26" s="57"/>
      <c r="L26" s="57"/>
      <c r="M26" s="57"/>
      <c r="N26" s="57"/>
      <c r="O26" s="58"/>
    </row>
    <row r="27" spans="1:15" ht="13.65" customHeight="1" thickTop="1" thickBot="1">
      <c r="A27" s="54" t="s">
        <v>65</v>
      </c>
      <c r="B27" s="59">
        <v>45306</v>
      </c>
      <c r="C27" s="60">
        <v>45307</v>
      </c>
      <c r="D27" s="60">
        <v>45308</v>
      </c>
      <c r="E27" s="60">
        <v>45309</v>
      </c>
      <c r="F27" s="60">
        <v>45310</v>
      </c>
      <c r="G27" s="60">
        <v>45311</v>
      </c>
      <c r="H27" s="60">
        <v>45312</v>
      </c>
      <c r="I27" s="60">
        <v>45313</v>
      </c>
      <c r="J27" s="60">
        <v>45314</v>
      </c>
      <c r="K27" s="60">
        <v>45315</v>
      </c>
      <c r="L27" s="60">
        <v>45316</v>
      </c>
      <c r="M27" s="60">
        <v>45317</v>
      </c>
      <c r="N27" s="60">
        <v>45318</v>
      </c>
      <c r="O27" s="61">
        <v>45319</v>
      </c>
    </row>
    <row r="28" spans="1:15" ht="13.65" customHeight="1" thickTop="1">
      <c r="A28" s="50">
        <v>0.54166666666666663</v>
      </c>
      <c r="B28" s="51"/>
      <c r="C28" s="52"/>
      <c r="D28" s="52"/>
      <c r="E28" s="52"/>
      <c r="F28" s="52"/>
      <c r="G28" s="52"/>
      <c r="H28" s="52"/>
      <c r="I28" s="52"/>
      <c r="J28" s="52"/>
      <c r="K28" s="52"/>
      <c r="L28" s="52"/>
      <c r="M28" s="52"/>
      <c r="N28" s="52"/>
      <c r="O28" s="53"/>
    </row>
    <row r="29" spans="1:15" ht="13.65" customHeight="1">
      <c r="A29" s="48">
        <v>0.58333333333333337</v>
      </c>
      <c r="B29" s="47"/>
      <c r="C29" s="46"/>
      <c r="D29" s="46"/>
      <c r="E29" s="46"/>
      <c r="F29" s="46"/>
      <c r="G29" s="46"/>
      <c r="H29" s="46"/>
      <c r="I29" s="46"/>
      <c r="J29" s="46"/>
      <c r="K29" s="46"/>
      <c r="L29" s="46"/>
      <c r="M29" s="46"/>
      <c r="N29" s="46"/>
      <c r="O29" s="49"/>
    </row>
    <row r="30" spans="1:15" ht="13.65" customHeight="1">
      <c r="A30" s="48">
        <v>0.625</v>
      </c>
      <c r="B30" s="47"/>
      <c r="C30" s="46"/>
      <c r="D30" s="46"/>
      <c r="E30" s="46"/>
      <c r="F30" s="46"/>
      <c r="G30" s="46"/>
      <c r="H30" s="46"/>
      <c r="I30" s="46"/>
      <c r="J30" s="46"/>
      <c r="K30" s="46"/>
      <c r="L30" s="46"/>
      <c r="M30" s="46"/>
      <c r="N30" s="46"/>
      <c r="O30" s="49"/>
    </row>
    <row r="31" spans="1:15" ht="13.65" customHeight="1">
      <c r="A31" s="48">
        <v>0.66666666666666663</v>
      </c>
      <c r="B31" s="47"/>
      <c r="C31" s="46"/>
      <c r="D31" s="46"/>
      <c r="E31" s="46"/>
      <c r="F31" s="46"/>
      <c r="G31" s="46"/>
      <c r="H31" s="46"/>
      <c r="I31" s="46"/>
      <c r="J31" s="46"/>
      <c r="K31" s="46"/>
      <c r="L31" s="46"/>
      <c r="M31" s="46"/>
      <c r="N31" s="46"/>
      <c r="O31" s="49"/>
    </row>
    <row r="32" spans="1:15" ht="13.65" customHeight="1">
      <c r="A32" s="48">
        <v>0.70833333333333337</v>
      </c>
      <c r="B32" s="47"/>
      <c r="C32" s="46"/>
      <c r="D32" s="46"/>
      <c r="E32" s="46"/>
      <c r="F32" s="46"/>
      <c r="G32" s="46"/>
      <c r="H32" s="46"/>
      <c r="I32" s="46"/>
      <c r="J32" s="46"/>
      <c r="K32" s="46"/>
      <c r="L32" s="46"/>
      <c r="M32" s="46"/>
      <c r="N32" s="46"/>
      <c r="O32" s="49"/>
    </row>
    <row r="33" spans="1:15" ht="13.65" customHeight="1">
      <c r="A33" s="48">
        <v>0.75</v>
      </c>
      <c r="B33" s="47"/>
      <c r="C33" s="46"/>
      <c r="D33" s="46"/>
      <c r="E33" s="46"/>
      <c r="F33" s="46"/>
      <c r="G33" s="46"/>
      <c r="H33" s="46"/>
      <c r="I33" s="46"/>
      <c r="J33" s="46"/>
      <c r="K33" s="46"/>
      <c r="L33" s="46"/>
      <c r="M33" s="46"/>
      <c r="N33" s="46"/>
      <c r="O33" s="49"/>
    </row>
    <row r="34" spans="1:15" ht="13.65" customHeight="1">
      <c r="A34" s="48">
        <v>0.79166666666666663</v>
      </c>
      <c r="B34" s="47"/>
      <c r="C34" s="46"/>
      <c r="D34" s="46"/>
      <c r="E34" s="46"/>
      <c r="F34" s="46"/>
      <c r="G34" s="46"/>
      <c r="H34" s="46"/>
      <c r="I34" s="46"/>
      <c r="J34" s="46"/>
      <c r="K34" s="46"/>
      <c r="L34" s="46"/>
      <c r="M34" s="46"/>
      <c r="N34" s="46"/>
      <c r="O34" s="49"/>
    </row>
    <row r="35" spans="1:15" ht="13.65" customHeight="1">
      <c r="A35" s="48">
        <v>0.83333333333333337</v>
      </c>
      <c r="B35" s="47"/>
      <c r="C35" s="46"/>
      <c r="D35" s="46"/>
      <c r="E35" s="46"/>
      <c r="F35" s="46"/>
      <c r="G35" s="46"/>
      <c r="H35" s="46"/>
      <c r="I35" s="46"/>
      <c r="J35" s="46"/>
      <c r="K35" s="46"/>
      <c r="L35" s="46"/>
      <c r="M35" s="46"/>
      <c r="N35" s="46"/>
      <c r="O35" s="49"/>
    </row>
    <row r="36" spans="1:15" ht="13.65" customHeight="1" thickBot="1">
      <c r="A36" s="55">
        <v>0.875</v>
      </c>
      <c r="B36" s="56"/>
      <c r="C36" s="57"/>
      <c r="D36" s="57"/>
      <c r="E36" s="57"/>
      <c r="F36" s="57"/>
      <c r="G36" s="57"/>
      <c r="H36" s="57"/>
      <c r="I36" s="57"/>
      <c r="J36" s="57"/>
      <c r="K36" s="57"/>
      <c r="L36" s="57"/>
      <c r="M36" s="57"/>
      <c r="N36" s="57"/>
      <c r="O36" s="58"/>
    </row>
    <row r="37" spans="1:15" ht="13.65" customHeight="1" thickTop="1" thickBot="1">
      <c r="A37" s="54" t="s">
        <v>65</v>
      </c>
      <c r="B37" s="59">
        <v>45320</v>
      </c>
      <c r="C37" s="60">
        <v>45321</v>
      </c>
      <c r="D37" s="60">
        <v>45322</v>
      </c>
      <c r="E37" s="60">
        <v>45323</v>
      </c>
      <c r="F37" s="60">
        <v>45324</v>
      </c>
      <c r="G37" s="60">
        <v>45325</v>
      </c>
      <c r="H37" s="60">
        <v>45326</v>
      </c>
      <c r="I37" s="60">
        <v>45327</v>
      </c>
      <c r="J37" s="60">
        <v>45328</v>
      </c>
      <c r="K37" s="60">
        <v>45329</v>
      </c>
      <c r="L37" s="60">
        <v>45330</v>
      </c>
      <c r="M37" s="60">
        <v>45331</v>
      </c>
      <c r="N37" s="60">
        <v>45332</v>
      </c>
      <c r="O37" s="61">
        <v>45333</v>
      </c>
    </row>
    <row r="38" spans="1:15" ht="13.65" customHeight="1" thickTop="1">
      <c r="A38" s="50">
        <v>0.54166666666666663</v>
      </c>
      <c r="B38" s="51"/>
      <c r="C38" s="52"/>
      <c r="D38" s="52"/>
      <c r="E38" s="52"/>
      <c r="F38" s="52"/>
      <c r="G38" s="52"/>
      <c r="H38" s="52"/>
      <c r="I38" s="52"/>
      <c r="J38" s="52"/>
      <c r="K38" s="52"/>
      <c r="L38" s="52"/>
      <c r="M38" s="52"/>
      <c r="N38" s="52"/>
      <c r="O38" s="53"/>
    </row>
    <row r="39" spans="1:15" ht="13.65" customHeight="1">
      <c r="A39" s="48">
        <v>0.58333333333333337</v>
      </c>
      <c r="B39" s="47"/>
      <c r="C39" s="46"/>
      <c r="D39" s="46"/>
      <c r="E39" s="46"/>
      <c r="F39" s="46"/>
      <c r="G39" s="46"/>
      <c r="H39" s="46"/>
      <c r="I39" s="46"/>
      <c r="J39" s="46"/>
      <c r="K39" s="46"/>
      <c r="L39" s="46"/>
      <c r="M39" s="46"/>
      <c r="N39" s="46"/>
      <c r="O39" s="49"/>
    </row>
    <row r="40" spans="1:15" ht="13.65" customHeight="1">
      <c r="A40" s="48">
        <v>0.625</v>
      </c>
      <c r="B40" s="47"/>
      <c r="C40" s="46"/>
      <c r="D40" s="46"/>
      <c r="E40" s="46"/>
      <c r="F40" s="46"/>
      <c r="G40" s="46"/>
      <c r="H40" s="46"/>
      <c r="I40" s="46"/>
      <c r="J40" s="46"/>
      <c r="K40" s="46"/>
      <c r="L40" s="46"/>
      <c r="M40" s="46"/>
      <c r="N40" s="46"/>
      <c r="O40" s="49"/>
    </row>
    <row r="41" spans="1:15" ht="13.65" customHeight="1">
      <c r="A41" s="48">
        <v>0.66666666666666663</v>
      </c>
      <c r="B41" s="47"/>
      <c r="C41" s="46"/>
      <c r="D41" s="46"/>
      <c r="E41" s="46"/>
      <c r="F41" s="46"/>
      <c r="G41" s="46"/>
      <c r="H41" s="46"/>
      <c r="I41" s="46"/>
      <c r="J41" s="46"/>
      <c r="K41" s="46"/>
      <c r="L41" s="46"/>
      <c r="M41" s="46"/>
      <c r="N41" s="46"/>
      <c r="O41" s="49"/>
    </row>
    <row r="42" spans="1:15" ht="13.65" customHeight="1">
      <c r="A42" s="48">
        <v>0.70833333333333337</v>
      </c>
      <c r="B42" s="47"/>
      <c r="C42" s="46"/>
      <c r="D42" s="46"/>
      <c r="E42" s="46"/>
      <c r="F42" s="46"/>
      <c r="G42" s="46"/>
      <c r="H42" s="46"/>
      <c r="I42" s="46"/>
      <c r="J42" s="46"/>
      <c r="K42" s="46"/>
      <c r="L42" s="46"/>
      <c r="M42" s="46"/>
      <c r="N42" s="46"/>
      <c r="O42" s="49"/>
    </row>
    <row r="43" spans="1:15" ht="13.65" customHeight="1">
      <c r="A43" s="48">
        <v>0.75</v>
      </c>
      <c r="B43" s="47"/>
      <c r="C43" s="46"/>
      <c r="D43" s="46"/>
      <c r="E43" s="46"/>
      <c r="F43" s="46"/>
      <c r="G43" s="46"/>
      <c r="H43" s="46"/>
      <c r="I43" s="46"/>
      <c r="J43" s="46"/>
      <c r="K43" s="46"/>
      <c r="L43" s="46"/>
      <c r="M43" s="46"/>
      <c r="N43" s="46"/>
      <c r="O43" s="49"/>
    </row>
    <row r="44" spans="1:15" ht="13.65" customHeight="1">
      <c r="A44" s="48">
        <v>0.79166666666666663</v>
      </c>
      <c r="B44" s="47"/>
      <c r="C44" s="46"/>
      <c r="D44" s="46"/>
      <c r="E44" s="46"/>
      <c r="F44" s="46"/>
      <c r="G44" s="46"/>
      <c r="H44" s="46"/>
      <c r="I44" s="46"/>
      <c r="J44" s="46"/>
      <c r="K44" s="46"/>
      <c r="L44" s="46"/>
      <c r="M44" s="46"/>
      <c r="N44" s="46"/>
      <c r="O44" s="49"/>
    </row>
    <row r="45" spans="1:15" ht="13.65" customHeight="1">
      <c r="A45" s="48">
        <v>0.83333333333333337</v>
      </c>
      <c r="B45" s="47"/>
      <c r="C45" s="46"/>
      <c r="D45" s="46"/>
      <c r="E45" s="46"/>
      <c r="F45" s="46"/>
      <c r="G45" s="46"/>
      <c r="H45" s="46"/>
      <c r="I45" s="46"/>
      <c r="J45" s="46"/>
      <c r="K45" s="46"/>
      <c r="L45" s="46"/>
      <c r="M45" s="46"/>
      <c r="N45" s="46"/>
      <c r="O45" s="49"/>
    </row>
    <row r="46" spans="1:15" ht="13.65" customHeight="1" thickBot="1">
      <c r="A46" s="62">
        <v>0.875</v>
      </c>
      <c r="B46" s="63"/>
      <c r="C46" s="64"/>
      <c r="D46" s="64"/>
      <c r="E46" s="64"/>
      <c r="F46" s="64"/>
      <c r="G46" s="64"/>
      <c r="H46" s="64"/>
      <c r="I46" s="64"/>
      <c r="J46" s="64"/>
      <c r="K46" s="64"/>
      <c r="L46" s="64"/>
      <c r="M46" s="64"/>
      <c r="N46" s="64"/>
      <c r="O46" s="65"/>
    </row>
    <row r="47" spans="1:15" ht="13.65" customHeight="1" thickTop="1"/>
  </sheetData>
  <dataConsolidate/>
  <mergeCells count="37">
    <mergeCell ref="A8:C11"/>
    <mergeCell ref="D8:G11"/>
    <mergeCell ref="H8:J11"/>
    <mergeCell ref="A15:D15"/>
    <mergeCell ref="Z2:AB4"/>
    <mergeCell ref="U4:Y4"/>
    <mergeCell ref="U6:X6"/>
    <mergeCell ref="A7:C7"/>
    <mergeCell ref="K7:O7"/>
    <mergeCell ref="H7:J7"/>
    <mergeCell ref="A13:D13"/>
    <mergeCell ref="A12:D12"/>
    <mergeCell ref="M12:O12"/>
    <mergeCell ref="A14:D14"/>
    <mergeCell ref="E12:H12"/>
    <mergeCell ref="I12:L12"/>
    <mergeCell ref="Q1:AB1"/>
    <mergeCell ref="A1:C1"/>
    <mergeCell ref="B2:C2"/>
    <mergeCell ref="Q5:AB5"/>
    <mergeCell ref="Y6:AB6"/>
    <mergeCell ref="Q6:T6"/>
    <mergeCell ref="A4:J4"/>
    <mergeCell ref="A6:O6"/>
    <mergeCell ref="E13:H15"/>
    <mergeCell ref="Q7:T7"/>
    <mergeCell ref="U7:X7"/>
    <mergeCell ref="Y7:AB7"/>
    <mergeCell ref="K8:O8"/>
    <mergeCell ref="R10:V10"/>
    <mergeCell ref="Q14:AB15"/>
    <mergeCell ref="D7:G7"/>
    <mergeCell ref="I13:L15"/>
    <mergeCell ref="M13:O15"/>
    <mergeCell ref="Q8:AB8"/>
    <mergeCell ref="R12:AB12"/>
    <mergeCell ref="K9:O9"/>
  </mergeCells>
  <phoneticPr fontId="1"/>
  <conditionalFormatting sqref="A1:XFD1 A17:O46 A48:XFD1048576 Q17:XFD47">
    <cfRule type="expression" dxfId="0" priority="1" stopIfTrue="1">
      <formula>AND(WEEKDAY(A1,2)&gt;=6,A1&lt;&gt;"",A1&lt;&gt;1)</formula>
    </cfRule>
  </conditionalFormatting>
  <printOptions horizontalCentered="1" verticalCentered="1"/>
  <pageMargins left="0.78740157480314954" right="0.78740157480314954" top="0.98425196850393704" bottom="0.98425196850393704" header="0" footer="0"/>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ボタン①初期化プログラム">
                <anchor moveWithCells="1" sizeWithCells="1">
                  <from>
                    <xdr:col>0</xdr:col>
                    <xdr:colOff>120650</xdr:colOff>
                    <xdr:row>7</xdr:row>
                    <xdr:rowOff>50800</xdr:rowOff>
                  </from>
                  <to>
                    <xdr:col>2</xdr:col>
                    <xdr:colOff>304800</xdr:colOff>
                    <xdr:row>10</xdr:row>
                    <xdr:rowOff>101600</xdr:rowOff>
                  </to>
                </anchor>
              </controlPr>
            </control>
          </mc:Choice>
        </mc:AlternateContent>
        <mc:AlternateContent xmlns:mc="http://schemas.openxmlformats.org/markup-compatibility/2006">
          <mc:Choice Requires="x14">
            <control shapeId="1028" r:id="rId5" name="Button 4">
              <controlPr defaultSize="0" print="0" autoFill="0" autoPict="0" macro="[0]!ボタン③教科を自動で振り分けるプログラム">
                <anchor moveWithCells="1" sizeWithCells="1">
                  <from>
                    <xdr:col>4</xdr:col>
                    <xdr:colOff>508000</xdr:colOff>
                    <xdr:row>12</xdr:row>
                    <xdr:rowOff>31750</xdr:rowOff>
                  </from>
                  <to>
                    <xdr:col>7</xdr:col>
                    <xdr:colOff>31750</xdr:colOff>
                    <xdr:row>14</xdr:row>
                    <xdr:rowOff>139700</xdr:rowOff>
                  </to>
                </anchor>
              </controlPr>
            </control>
          </mc:Choice>
        </mc:AlternateContent>
        <mc:AlternateContent xmlns:mc="http://schemas.openxmlformats.org/markup-compatibility/2006">
          <mc:Choice Requires="x14">
            <control shapeId="1029" r:id="rId6" name="Button 5">
              <controlPr defaultSize="0" print="0" autoFill="0" autoPict="0" macro="[0]!ボタン④新規シート作成と既存シートのデータをコピーペーストするプログラム">
                <anchor moveWithCells="1" sizeWithCells="1">
                  <from>
                    <xdr:col>8</xdr:col>
                    <xdr:colOff>469900</xdr:colOff>
                    <xdr:row>12</xdr:row>
                    <xdr:rowOff>19050</xdr:rowOff>
                  </from>
                  <to>
                    <xdr:col>11</xdr:col>
                    <xdr:colOff>25400</xdr:colOff>
                    <xdr:row>14</xdr:row>
                    <xdr:rowOff>139700</xdr:rowOff>
                  </to>
                </anchor>
              </controlPr>
            </control>
          </mc:Choice>
        </mc:AlternateContent>
        <mc:AlternateContent xmlns:mc="http://schemas.openxmlformats.org/markup-compatibility/2006">
          <mc:Choice Requires="x14">
            <control shapeId="1031" r:id="rId7" name="Button 7">
              <controlPr defaultSize="0" print="0" autoFill="0" autoPict="0" macro="[0]!ボタン②新規シートを日程表に加工するプログラム">
                <anchor moveWithCells="1" sizeWithCells="1">
                  <from>
                    <xdr:col>7</xdr:col>
                    <xdr:colOff>82550</xdr:colOff>
                    <xdr:row>7</xdr:row>
                    <xdr:rowOff>95250</xdr:rowOff>
                  </from>
                  <to>
                    <xdr:col>9</xdr:col>
                    <xdr:colOff>425450</xdr:colOff>
                    <xdr:row>10</xdr:row>
                    <xdr:rowOff>82550</xdr:rowOff>
                  </to>
                </anchor>
              </controlPr>
            </control>
          </mc:Choice>
        </mc:AlternateContent>
        <mc:AlternateContent xmlns:mc="http://schemas.openxmlformats.org/markup-compatibility/2006">
          <mc:Choice Requires="x14">
            <control shapeId="1113" r:id="rId8" name="Button 89">
              <controlPr defaultSize="0" print="0" autoFill="0" autoPict="0" macro="[0]!ボタン⑥書式設定">
                <anchor moveWithCells="1" sizeWithCells="1">
                  <from>
                    <xdr:col>25</xdr:col>
                    <xdr:colOff>139700</xdr:colOff>
                    <xdr:row>1</xdr:row>
                    <xdr:rowOff>101600</xdr:rowOff>
                  </from>
                  <to>
                    <xdr:col>27</xdr:col>
                    <xdr:colOff>400050</xdr:colOff>
                    <xdr:row>3</xdr:row>
                    <xdr:rowOff>95250</xdr:rowOff>
                  </to>
                </anchor>
              </controlPr>
            </control>
          </mc:Choice>
        </mc:AlternateContent>
        <mc:AlternateContent xmlns:mc="http://schemas.openxmlformats.org/markup-compatibility/2006">
          <mc:Choice Requires="x14">
            <control shapeId="1114" r:id="rId9" name="Button 90">
              <controlPr defaultSize="0" print="0" autoFill="0" autoPict="0" macro="[0]!ボタン⑦表の設定をすべてデフォルトにする">
                <anchor moveWithCells="1" sizeWithCells="1">
                  <from>
                    <xdr:col>20</xdr:col>
                    <xdr:colOff>266700</xdr:colOff>
                    <xdr:row>13</xdr:row>
                    <xdr:rowOff>69850</xdr:rowOff>
                  </from>
                  <to>
                    <xdr:col>23</xdr:col>
                    <xdr:colOff>463550</xdr:colOff>
                    <xdr:row>14</xdr:row>
                    <xdr:rowOff>120650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vt:i4>
      </vt:variant>
    </vt:vector>
  </HeadingPairs>
  <TitlesOfParts>
    <vt:vector size="1" baseType="lpstr">
      <vt:lpstr>1生徒操作画面（編集厳禁）</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Yuta Sunagawa</dc:creator>
  <cp:lastModifiedBy>Yuta Sunagawa</cp:lastModifiedBy>
  <cp:lastPrinted>2024-03-11T00:24:11Z</cp:lastPrinted>
  <dcterms:created xsi:type="dcterms:W3CDTF">2015-06-05T18:19:34Z</dcterms:created>
  <dcterms:modified xsi:type="dcterms:W3CDTF">2024-03-19T03:33:41Z</dcterms:modified>
</cp:coreProperties>
</file>